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0070C0"/>
      <sz val="10"/>
    </font>
    <font>
      <i val="1"/>
      <sz val="9"/>
    </font>
    <font>
      <b val="1"/>
      <color rgb="00375623"/>
      <sz val="10"/>
    </font>
    <font>
      <b val="1"/>
      <sz val="11"/>
    </font>
    <font>
      <b val="1"/>
      <i val="1"/>
      <color rgb="00C00000"/>
      <sz val="9"/>
    </font>
    <font>
      <b val="1"/>
      <color rgb="00006100"/>
      <sz val="10"/>
    </font>
  </fonts>
  <fills count="17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9C27B0"/>
        <bgColor rgb="009C27B0"/>
      </patternFill>
    </fill>
    <fill>
      <patternFill patternType="solid">
        <fgColor rgb="00FF9800"/>
        <bgColor rgb="00FF9800"/>
      </patternFill>
    </fill>
    <fill>
      <patternFill patternType="solid">
        <fgColor rgb="00E74C3C"/>
        <bgColor rgb="00E74C3C"/>
      </patternFill>
    </fill>
    <fill>
      <patternFill patternType="solid">
        <fgColor rgb="00E2EFDA"/>
        <bgColor rgb="00E2EFDA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2980B9"/>
        <bgColor rgb="002980B9"/>
      </patternFill>
    </fill>
    <fill>
      <patternFill patternType="solid">
        <fgColor rgb="00E67E22"/>
        <bgColor rgb="00E67E22"/>
      </patternFill>
    </fill>
    <fill>
      <patternFill patternType="solid">
        <fgColor rgb="00C00000"/>
        <bgColor rgb="00C000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2" fontId="6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2" fontId="8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4" fontId="4" fillId="11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" fontId="8" fillId="10" borderId="1" applyAlignment="1" pivotButton="0" quotePrefix="0" xfId="0">
      <alignment horizontal="center" vertical="center"/>
    </xf>
    <xf numFmtId="1" fontId="4" fillId="11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50" customWidth="1" min="4" max="4"/>
  </cols>
  <sheetData>
    <row r="1" ht="25" customHeight="1">
      <c r="A1" s="1" t="inlineStr">
        <is>
          <t>CALCULADORA SOLAR V5 - METODOLOGÍA PROFESIONAL</t>
        </is>
      </c>
    </row>
    <row r="2">
      <c r="A2" s="2" t="inlineStr">
        <is>
          <t>Diseño según NEC, IEC y estándares internacionales</t>
        </is>
      </c>
    </row>
    <row r="4" ht="20" customHeight="1">
      <c r="A4" s="3" t="inlineStr">
        <is>
          <t>☀️ ESPECIFICACIONES DEL MÓDULO SOLAR (De hoja técnica)</t>
        </is>
      </c>
    </row>
    <row r="5">
      <c r="A5" s="4" t="inlineStr">
        <is>
          <t>PARÁMETRO</t>
        </is>
      </c>
      <c r="B5" s="4" t="inlineStr">
        <is>
          <t>VALOR</t>
        </is>
      </c>
      <c r="C5" s="4" t="inlineStr">
        <is>
          <t>UNIDAD</t>
        </is>
      </c>
      <c r="D5" s="4" t="inlineStr">
        <is>
          <t>DESCRIPCIÓN</t>
        </is>
      </c>
    </row>
    <row r="6">
      <c r="A6" s="5" t="inlineStr">
        <is>
          <t>Potencia nominal (Pmax)</t>
        </is>
      </c>
      <c r="B6" s="6" t="n">
        <v>400</v>
      </c>
      <c r="C6" s="7" t="inlineStr">
        <is>
          <t>W</t>
        </is>
      </c>
      <c r="D6" s="8" t="inlineStr">
        <is>
          <t>Potencia pico a STC (1000W/m², 25°C, AM1.5)</t>
        </is>
      </c>
    </row>
    <row r="7">
      <c r="A7" s="5" t="inlineStr">
        <is>
          <t>Voltaje MPP (Vmp)</t>
        </is>
      </c>
      <c r="B7" s="9" t="n">
        <v>36.5</v>
      </c>
      <c r="C7" s="7" t="inlineStr">
        <is>
          <t>V</t>
        </is>
      </c>
      <c r="D7" s="8" t="inlineStr">
        <is>
          <t>Voltaje a máxima potencia (STC)</t>
        </is>
      </c>
    </row>
    <row r="8">
      <c r="A8" s="5" t="inlineStr">
        <is>
          <t>Corriente MPP (Imp)</t>
        </is>
      </c>
      <c r="B8" s="9" t="n">
        <v>10.96</v>
      </c>
      <c r="C8" s="7" t="inlineStr">
        <is>
          <t>A</t>
        </is>
      </c>
      <c r="D8" s="8" t="inlineStr">
        <is>
          <t>Corriente a máxima potencia (STC)</t>
        </is>
      </c>
    </row>
    <row r="9">
      <c r="A9" s="5" t="inlineStr">
        <is>
          <t>Voltaje circuito abierto (Voc)</t>
        </is>
      </c>
      <c r="B9" s="9" t="n">
        <v>45.5</v>
      </c>
      <c r="C9" s="7" t="inlineStr">
        <is>
          <t>V</t>
        </is>
      </c>
      <c r="D9" s="8" t="inlineStr">
        <is>
          <t>⚠️ CRÍTICO: De hoja técnica del fabricante</t>
        </is>
      </c>
    </row>
    <row r="10">
      <c r="A10" s="5" t="inlineStr">
        <is>
          <t>Corriente cortocircuito (Isc)</t>
        </is>
      </c>
      <c r="B10" s="9" t="n">
        <v>11.55</v>
      </c>
      <c r="C10" s="7" t="inlineStr">
        <is>
          <t>A</t>
        </is>
      </c>
      <c r="D10" s="8" t="inlineStr">
        <is>
          <t>⚠️ CRÍTICO: De hoja técnica del fabricante</t>
        </is>
      </c>
    </row>
    <row r="11">
      <c r="A11" s="5" t="inlineStr">
        <is>
          <t>Coef. temp. Voc</t>
        </is>
      </c>
      <c r="B11" s="9" t="n">
        <v>-0.28</v>
      </c>
      <c r="C11" s="7" t="inlineStr">
        <is>
          <t>%/°C</t>
        </is>
      </c>
      <c r="D11" s="8" t="inlineStr">
        <is>
          <t>Típico: -0.28 a -0.35%/°C</t>
        </is>
      </c>
    </row>
    <row r="12">
      <c r="A12" s="5" t="inlineStr">
        <is>
          <t>Coef. temp. Isc</t>
        </is>
      </c>
      <c r="B12" s="9" t="n">
        <v>0.05</v>
      </c>
      <c r="C12" s="7" t="inlineStr">
        <is>
          <t>%/°C</t>
        </is>
      </c>
      <c r="D12" s="8" t="inlineStr">
        <is>
          <t>Típico: +0.04 a +0.06%/°C</t>
        </is>
      </c>
    </row>
    <row r="13">
      <c r="A13" s="5" t="inlineStr">
        <is>
          <t>Coef. temp. Pmax</t>
        </is>
      </c>
      <c r="B13" s="9" t="n">
        <v>-0.37</v>
      </c>
      <c r="C13" s="7" t="inlineStr">
        <is>
          <t>%/°C</t>
        </is>
      </c>
      <c r="D13" s="8" t="inlineStr">
        <is>
          <t>Típico: -0.37 a -0.45%/°C</t>
        </is>
      </c>
    </row>
    <row r="14" ht="20" customHeight="1">
      <c r="A14" s="10" t="inlineStr">
        <is>
          <t>🔌 ESPECIFICACIONES DEL INVERSOR (De hoja técnica)</t>
        </is>
      </c>
    </row>
    <row r="15">
      <c r="A15" s="4" t="inlineStr">
        <is>
          <t>PARÁMETRO</t>
        </is>
      </c>
      <c r="B15" s="4" t="inlineStr">
        <is>
          <t>VALOR</t>
        </is>
      </c>
      <c r="C15" s="4" t="inlineStr">
        <is>
          <t>UNIDAD</t>
        </is>
      </c>
      <c r="D15" s="4" t="inlineStr">
        <is>
          <t>DESCRIPCIÓN</t>
        </is>
      </c>
    </row>
    <row r="16">
      <c r="A16" s="5" t="inlineStr">
        <is>
          <t>Voltaje MPPT mínimo</t>
        </is>
      </c>
      <c r="B16" s="6" t="n">
        <v>120</v>
      </c>
      <c r="C16" s="7" t="inlineStr">
        <is>
          <t>V</t>
        </is>
      </c>
      <c r="D16" s="8" t="inlineStr">
        <is>
          <t>Voltaje mínimo para inicio de MPPT</t>
        </is>
      </c>
    </row>
    <row r="17">
      <c r="A17" s="5" t="inlineStr">
        <is>
          <t>Voltaje MPPT máximo</t>
        </is>
      </c>
      <c r="B17" s="6" t="n">
        <v>500</v>
      </c>
      <c r="C17" s="7" t="inlineStr">
        <is>
          <t>V</t>
        </is>
      </c>
      <c r="D17" s="8" t="inlineStr">
        <is>
          <t>Voltaje máximo para operación MPPT</t>
        </is>
      </c>
    </row>
    <row r="18">
      <c r="A18" s="5" t="inlineStr">
        <is>
          <t>Voltaje DC máximo absoluto</t>
        </is>
      </c>
      <c r="B18" s="6" t="n">
        <v>600</v>
      </c>
      <c r="C18" s="7" t="inlineStr">
        <is>
          <t>V</t>
        </is>
      </c>
      <c r="D18" s="8" t="inlineStr">
        <is>
          <t>⚠️ NO EXCEDER - Voltaje máximo permitido</t>
        </is>
      </c>
    </row>
    <row r="19">
      <c r="A19" s="5" t="inlineStr">
        <is>
          <t>Corriente DC máxima por MPPT</t>
        </is>
      </c>
      <c r="B19" s="6" t="n">
        <v>15</v>
      </c>
      <c r="C19" s="7" t="inlineStr">
        <is>
          <t>A</t>
        </is>
      </c>
      <c r="D19" s="8" t="inlineStr">
        <is>
          <t>Corriente máxima de entrada por string/MPPT</t>
        </is>
      </c>
    </row>
    <row r="20">
      <c r="A20" s="5" t="inlineStr">
        <is>
          <t>Número de MPPT</t>
        </is>
      </c>
      <c r="B20" s="6" t="n">
        <v>2</v>
      </c>
      <c r="C20" s="7" t="inlineStr"/>
      <c r="D20" s="8" t="inlineStr">
        <is>
          <t>Entradas MPPT independientes</t>
        </is>
      </c>
    </row>
    <row r="21">
      <c r="A21" s="5" t="inlineStr">
        <is>
          <t>Potencia nominal AC</t>
        </is>
      </c>
      <c r="B21" s="6" t="n">
        <v>6000</v>
      </c>
      <c r="C21" s="7" t="inlineStr">
        <is>
          <t>W</t>
        </is>
      </c>
      <c r="D21" s="8" t="inlineStr">
        <is>
          <t>Potencia de salida AC nominal</t>
        </is>
      </c>
    </row>
    <row r="22">
      <c r="A22" s="5" t="inlineStr">
        <is>
          <t>Voltaje AC nominal</t>
        </is>
      </c>
      <c r="B22" s="6" t="n">
        <v>110</v>
      </c>
      <c r="C22" s="7" t="inlineStr">
        <is>
          <t>V</t>
        </is>
      </c>
      <c r="D22" s="8" t="inlineStr">
        <is>
          <t>Voltaje de salida AC</t>
        </is>
      </c>
    </row>
    <row r="23">
      <c r="A23" s="5" t="inlineStr">
        <is>
          <t>Frecuencia</t>
        </is>
      </c>
      <c r="B23" s="6" t="n">
        <v>60</v>
      </c>
      <c r="C23" s="7" t="inlineStr">
        <is>
          <t>Hz</t>
        </is>
      </c>
      <c r="D23" s="8" t="inlineStr">
        <is>
          <t>Frecuencia de salida (50/60 Hz)</t>
        </is>
      </c>
    </row>
    <row r="24">
      <c r="A24" s="5" t="inlineStr">
        <is>
          <t>Voltaje batería nominal</t>
        </is>
      </c>
      <c r="B24" s="6" t="n">
        <v>48</v>
      </c>
      <c r="C24" s="7" t="inlineStr">
        <is>
          <t>V</t>
        </is>
      </c>
      <c r="D24" s="8" t="inlineStr">
        <is>
          <t>Para sistemas híbridos (12/24/48/96V)</t>
        </is>
      </c>
    </row>
    <row r="25" ht="20" customHeight="1">
      <c r="A25" s="11" t="inlineStr">
        <is>
          <t>🌡️ DATOS AMBIENTALES DEL SITIO</t>
        </is>
      </c>
    </row>
    <row r="26">
      <c r="A26" s="4" t="inlineStr">
        <is>
          <t>PARÁMETRO</t>
        </is>
      </c>
      <c r="B26" s="4" t="inlineStr">
        <is>
          <t>VALOR</t>
        </is>
      </c>
      <c r="C26" s="4" t="inlineStr">
        <is>
          <t>UNIDAD</t>
        </is>
      </c>
      <c r="D26" s="4" t="inlineStr">
        <is>
          <t>DESCRIPCIÓN</t>
        </is>
      </c>
    </row>
    <row r="27">
      <c r="A27" s="5" t="inlineStr">
        <is>
          <t>Temp. mínima histórica</t>
        </is>
      </c>
      <c r="B27" s="6" t="n">
        <v>15</v>
      </c>
      <c r="C27" s="7" t="inlineStr">
        <is>
          <t>°C</t>
        </is>
      </c>
      <c r="D27" s="8" t="inlineStr">
        <is>
          <t>Para cálculo de Voc máximo</t>
        </is>
      </c>
    </row>
    <row r="28">
      <c r="A28" s="5" t="inlineStr">
        <is>
          <t>Temp. máxima promedio</t>
        </is>
      </c>
      <c r="B28" s="6" t="n">
        <v>35</v>
      </c>
      <c r="C28" s="7" t="inlineStr">
        <is>
          <t>°C</t>
        </is>
      </c>
      <c r="D28" s="8" t="inlineStr">
        <is>
          <t>Para cálculo de corrientes máximas</t>
        </is>
      </c>
    </row>
    <row r="29">
      <c r="A29" s="5" t="inlineStr">
        <is>
          <t>Temp. operación célula (NOCT)</t>
        </is>
      </c>
      <c r="B29" s="6" t="n">
        <v>47</v>
      </c>
      <c r="C29" s="7" t="inlineStr">
        <is>
          <t>°C</t>
        </is>
      </c>
      <c r="D29" s="8" t="inlineStr">
        <is>
          <t>Típico: 45-47°C según fabricante</t>
        </is>
      </c>
    </row>
    <row r="30">
      <c r="A30" s="5" t="inlineStr">
        <is>
          <t>HSP promedio anual</t>
        </is>
      </c>
      <c r="B30" s="9" t="n">
        <v>5</v>
      </c>
      <c r="C30" s="7" t="inlineStr">
        <is>
          <t>h/día</t>
        </is>
      </c>
      <c r="D30" s="8" t="inlineStr">
        <is>
          <t>Horas Sol Pico - Consultar atlas solar</t>
        </is>
      </c>
    </row>
    <row r="31">
      <c r="A31" s="5" t="inlineStr">
        <is>
          <t>HSP mes crítico</t>
        </is>
      </c>
      <c r="B31" s="9" t="n">
        <v>4</v>
      </c>
      <c r="C31" s="7" t="inlineStr">
        <is>
          <t>h/día</t>
        </is>
      </c>
      <c r="D31" s="8" t="inlineStr">
        <is>
          <t>Mes con menor irradiación</t>
        </is>
      </c>
    </row>
    <row r="32">
      <c r="A32" s="5" t="inlineStr">
        <is>
          <t>Factor de pérdidas del sistema</t>
        </is>
      </c>
      <c r="B32" s="9" t="n">
        <v>0.8</v>
      </c>
      <c r="C32" s="7" t="inlineStr"/>
      <c r="D32" s="8" t="inlineStr">
        <is>
          <t>Típico: 0.75-0.85 (80% = 0.80)</t>
        </is>
      </c>
    </row>
    <row r="33" ht="20" customHeight="1">
      <c r="A33" s="12" t="inlineStr">
        <is>
          <t>⚡ CORRECCIONES POR TEMPERATURA (Calculados automáticamente)</t>
        </is>
      </c>
    </row>
    <row r="34">
      <c r="A34" s="4" t="inlineStr">
        <is>
          <t>PARÁMETRO</t>
        </is>
      </c>
      <c r="B34" s="4" t="inlineStr">
        <is>
          <t>VALOR</t>
        </is>
      </c>
      <c r="C34" s="4" t="inlineStr">
        <is>
          <t>UNIDAD</t>
        </is>
      </c>
      <c r="D34" s="4" t="inlineStr">
        <is>
          <t>FÓRMULA / DESCRIPCIÓN</t>
        </is>
      </c>
    </row>
    <row r="35">
      <c r="A35" s="5" t="inlineStr">
        <is>
          <t>Voc a temp. mínima</t>
        </is>
      </c>
      <c r="B35" s="13">
        <f>B8*(1+(B10/100)*(B28-25))</f>
        <v/>
      </c>
      <c r="C35" s="7" t="inlineStr">
        <is>
          <t>V</t>
        </is>
      </c>
      <c r="D35" s="8">
        <f> Voc × [1 + (Coef_Voc/100) × (Tmin - 25)]</f>
        <v/>
      </c>
    </row>
    <row r="36">
      <c r="A36" s="5" t="inlineStr">
        <is>
          <t>Vmp a temp. operación</t>
        </is>
      </c>
      <c r="B36" s="13">
        <f>B6*(1+(B12/100)*(B30-25))</f>
        <v/>
      </c>
      <c r="C36" s="7" t="inlineStr">
        <is>
          <t>V</t>
        </is>
      </c>
      <c r="D36" s="8">
        <f> Vmp × [1 + (Coef_Pmax/100) × (Top - 25)]</f>
        <v/>
      </c>
    </row>
    <row r="37">
      <c r="A37" s="5" t="inlineStr">
        <is>
          <t>Isc a temp. máxima</t>
        </is>
      </c>
      <c r="B37" s="13">
        <f>B9*(1+(B11/100)*(B29-25))</f>
        <v/>
      </c>
      <c r="C37" s="7" t="inlineStr">
        <is>
          <t>A</t>
        </is>
      </c>
      <c r="D37" s="8">
        <f> Isc × [1 + (Coef_Isc/100) × (Tmax - 25)]</f>
        <v/>
      </c>
    </row>
    <row r="38" ht="20" customHeight="1">
      <c r="A38" s="14" t="inlineStr">
        <is>
          <t>💡 CÁLCULO DE CONSUMO ELÉCTRICO</t>
        </is>
      </c>
    </row>
    <row r="39">
      <c r="A39" s="4" t="inlineStr">
        <is>
          <t>EQUIPO</t>
        </is>
      </c>
      <c r="B39" s="4" t="inlineStr">
        <is>
          <t>POTENCIA (W)</t>
        </is>
      </c>
      <c r="C39" s="4" t="inlineStr">
        <is>
          <t>HORAS/DÍA</t>
        </is>
      </c>
      <c r="D39" s="4" t="inlineStr">
        <is>
          <t>CONSUMO (Wh/día)</t>
        </is>
      </c>
    </row>
    <row r="40">
      <c r="A40" s="5" t="inlineStr">
        <is>
          <t>Cocina de inducción</t>
        </is>
      </c>
      <c r="B40" s="15" t="n">
        <v>1</v>
      </c>
      <c r="C40" s="16" t="n">
        <v>1800</v>
      </c>
      <c r="D40" s="17">
        <f>B40*C40</f>
        <v/>
      </c>
    </row>
    <row r="41">
      <c r="A41" s="5" t="inlineStr">
        <is>
          <t>Refrigerador</t>
        </is>
      </c>
      <c r="B41" s="15" t="n">
        <v>1</v>
      </c>
      <c r="C41" s="16" t="n">
        <v>150</v>
      </c>
      <c r="D41" s="17">
        <f>B41*C41</f>
        <v/>
      </c>
    </row>
    <row r="42">
      <c r="A42" s="5" t="inlineStr">
        <is>
          <t>Nevera</t>
        </is>
      </c>
      <c r="B42" s="15" t="n">
        <v>1</v>
      </c>
      <c r="C42" s="16" t="n">
        <v>120</v>
      </c>
      <c r="D42" s="17">
        <f>B42*C42</f>
        <v/>
      </c>
    </row>
    <row r="43">
      <c r="A43" s="5" t="inlineStr">
        <is>
          <t>Horno de aire</t>
        </is>
      </c>
      <c r="B43" s="15" t="n">
        <v>1</v>
      </c>
      <c r="C43" s="16" t="n">
        <v>1500</v>
      </c>
      <c r="D43" s="17">
        <f>B43*C43</f>
        <v/>
      </c>
    </row>
    <row r="44">
      <c r="A44" s="5" t="inlineStr">
        <is>
          <t>Batidora</t>
        </is>
      </c>
      <c r="B44" s="15" t="n">
        <v>1</v>
      </c>
      <c r="C44" s="16" t="n">
        <v>300</v>
      </c>
      <c r="D44" s="17">
        <f>B44*C44</f>
        <v/>
      </c>
    </row>
    <row r="45">
      <c r="A45" s="5" t="inlineStr">
        <is>
          <t>Microondas</t>
        </is>
      </c>
      <c r="B45" s="15" t="n">
        <v>1</v>
      </c>
      <c r="C45" s="16" t="n">
        <v>1200</v>
      </c>
      <c r="D45" s="17">
        <f>B45*C45</f>
        <v/>
      </c>
    </row>
    <row r="46">
      <c r="A46" s="5" t="inlineStr">
        <is>
          <t>Lavadora</t>
        </is>
      </c>
      <c r="B46" s="15" t="n">
        <v>1</v>
      </c>
      <c r="C46" s="16" t="n">
        <v>400</v>
      </c>
      <c r="D46" s="17">
        <f>B46*C46</f>
        <v/>
      </c>
    </row>
    <row r="47">
      <c r="A47" s="5" t="inlineStr">
        <is>
          <t>Ducha eléctrica</t>
        </is>
      </c>
      <c r="B47" s="15" t="n">
        <v>1</v>
      </c>
      <c r="C47" s="16" t="n">
        <v>4500</v>
      </c>
      <c r="D47" s="17">
        <f>B47*C47</f>
        <v/>
      </c>
    </row>
    <row r="48">
      <c r="A48" s="5" t="inlineStr">
        <is>
          <t>TV 55"</t>
        </is>
      </c>
      <c r="B48" s="15" t="n">
        <v>1</v>
      </c>
      <c r="C48" s="16" t="n">
        <v>120</v>
      </c>
      <c r="D48" s="17">
        <f>B48*C48</f>
        <v/>
      </c>
    </row>
    <row r="49">
      <c r="A49" s="5" t="inlineStr">
        <is>
          <t>Ventiladores</t>
        </is>
      </c>
      <c r="B49" s="15" t="n">
        <v>4</v>
      </c>
      <c r="C49" s="16" t="n">
        <v>60</v>
      </c>
      <c r="D49" s="17">
        <f>B49*C49</f>
        <v/>
      </c>
    </row>
    <row r="50">
      <c r="A50" s="5" t="inlineStr">
        <is>
          <t>Lámparas LED</t>
        </is>
      </c>
      <c r="B50" s="15" t="n">
        <v>15</v>
      </c>
      <c r="C50" s="16" t="n">
        <v>10</v>
      </c>
      <c r="D50" s="17">
        <f>B50*C50</f>
        <v/>
      </c>
    </row>
    <row r="51">
      <c r="A51" s="5" t="inlineStr">
        <is>
          <t>Split (A/C)</t>
        </is>
      </c>
      <c r="B51" s="15" t="n">
        <v>1</v>
      </c>
      <c r="C51" s="16" t="n">
        <v>1200</v>
      </c>
      <c r="D51" s="17">
        <f>B51*C51</f>
        <v/>
      </c>
    </row>
    <row r="52">
      <c r="A52" s="5" t="inlineStr">
        <is>
          <t>Carg. teléfonos</t>
        </is>
      </c>
      <c r="B52" s="15" t="n">
        <v>2</v>
      </c>
      <c r="C52" s="16" t="n">
        <v>10</v>
      </c>
      <c r="D52" s="17">
        <f>B52*C52</f>
        <v/>
      </c>
    </row>
    <row r="53">
      <c r="A53" s="5" t="inlineStr">
        <is>
          <t>Carg. motosierra</t>
        </is>
      </c>
      <c r="B53" s="15" t="n">
        <v>1</v>
      </c>
      <c r="C53" s="16" t="n">
        <v>80</v>
      </c>
      <c r="D53" s="17">
        <f>B53*C53</f>
        <v/>
      </c>
    </row>
    <row r="54">
      <c r="A54" s="5" t="inlineStr">
        <is>
          <t>Radio</t>
        </is>
      </c>
      <c r="B54" s="15" t="n">
        <v>1</v>
      </c>
      <c r="C54" s="16" t="n">
        <v>15</v>
      </c>
      <c r="D54" s="17">
        <f>B54*C54</f>
        <v/>
      </c>
    </row>
    <row r="55">
      <c r="A55" s="5" t="inlineStr">
        <is>
          <t>Teatro casa</t>
        </is>
      </c>
      <c r="B55" s="15" t="n">
        <v>1</v>
      </c>
      <c r="C55" s="16" t="n">
        <v>150</v>
      </c>
      <c r="D55" s="17">
        <f>B55*C55</f>
        <v/>
      </c>
    </row>
    <row r="56">
      <c r="A56" s="5" t="inlineStr">
        <is>
          <t>Voltaje del sistema</t>
        </is>
      </c>
      <c r="B56" s="15" t="n">
        <v>0</v>
      </c>
      <c r="C56" s="16" t="n">
        <v>48</v>
      </c>
      <c r="D56" s="17">
        <f>B56*C56</f>
        <v/>
      </c>
    </row>
    <row r="57">
      <c r="A57" s="5" t="inlineStr">
        <is>
          <t>Frecuencia</t>
        </is>
      </c>
      <c r="B57" s="15" t="n">
        <v>0</v>
      </c>
      <c r="C57" s="16" t="n">
        <v>60</v>
      </c>
      <c r="D57" s="17">
        <f>B57*C57</f>
        <v/>
      </c>
    </row>
    <row r="58">
      <c r="A58" s="5" t="inlineStr">
        <is>
          <t>Tipo de red</t>
        </is>
      </c>
      <c r="B58" s="15" t="n">
        <v>0</v>
      </c>
      <c r="C58" s="16" t="inlineStr">
        <is>
          <t>110V Monofásico</t>
        </is>
      </c>
      <c r="D58" s="17">
        <f>B58*C58</f>
        <v/>
      </c>
    </row>
    <row r="59">
      <c r="A59" s="5" t="inlineStr">
        <is>
          <t>Tipo de inversor</t>
        </is>
      </c>
      <c r="B59" s="15" t="n">
        <v>0</v>
      </c>
      <c r="C59" s="16" t="inlineStr">
        <is>
          <t>Híbrido</t>
        </is>
      </c>
      <c r="D59" s="17">
        <f>B59*C59</f>
        <v/>
      </c>
    </row>
    <row r="60">
      <c r="A60" s="18" t="inlineStr">
        <is>
          <t>CONSUMO TOTAL DIARIO</t>
        </is>
      </c>
      <c r="D60" s="19">
        <f>SUM(D40:D59)</f>
        <v/>
      </c>
    </row>
    <row r="61" ht="20" customHeight="1">
      <c r="A61" s="20" t="inlineStr">
        <is>
          <t>🔋 DIMENSIONAMIENTO DE BATERÍAS (Sistema Híbrido)</t>
        </is>
      </c>
    </row>
    <row r="62">
      <c r="A62" s="4" t="inlineStr">
        <is>
          <t>PARÁMETRO</t>
        </is>
      </c>
      <c r="B62" s="4" t="inlineStr">
        <is>
          <t>VALOR</t>
        </is>
      </c>
      <c r="C62" s="4" t="inlineStr">
        <is>
          <t>UNIDAD</t>
        </is>
      </c>
      <c r="D62" s="4" t="inlineStr">
        <is>
          <t>FÓRMULA / DESCRIPCIÓN</t>
        </is>
      </c>
    </row>
    <row r="63">
      <c r="A63" s="5" t="inlineStr">
        <is>
          <t>Días de autonomía</t>
        </is>
      </c>
      <c r="B63" s="15" t="n">
        <v>1</v>
      </c>
      <c r="C63" s="7" t="inlineStr">
        <is>
          <t>días</t>
        </is>
      </c>
      <c r="D63" s="8" t="inlineStr">
        <is>
          <t>Típico: 1-3 días</t>
        </is>
      </c>
    </row>
    <row r="64">
      <c r="A64" s="5" t="inlineStr">
        <is>
          <t>Tipo de batería</t>
        </is>
      </c>
      <c r="B64" s="6" t="inlineStr">
        <is>
          <t>Litio</t>
        </is>
      </c>
      <c r="C64" s="7" t="inlineStr"/>
      <c r="D64" s="8" t="inlineStr">
        <is>
          <t>Plomo-ácido / AGM / Gel / Litio</t>
        </is>
      </c>
    </row>
    <row r="65">
      <c r="A65" s="5" t="inlineStr">
        <is>
          <t>Profundidad de descarga (DoD)</t>
        </is>
      </c>
      <c r="B65" s="13">
        <f>IF(B64="Plomo-ácido",0.5,IF(B64="AGM",0.7,IF(B64="Gel",0.6,IF(B64="Litio",0.9,0.7))))</f>
        <v/>
      </c>
      <c r="C65" s="7" t="inlineStr"/>
      <c r="D65" s="8" t="inlineStr">
        <is>
          <t>Plomo:50% | AGM:70% | Gel:60% | Litio:90%</t>
        </is>
      </c>
    </row>
    <row r="66">
      <c r="A66" s="5" t="inlineStr">
        <is>
          <t>Eficiencia baterías</t>
        </is>
      </c>
      <c r="B66" s="9" t="n">
        <v>0.9</v>
      </c>
      <c r="C66" s="7" t="inlineStr"/>
      <c r="D66" s="8" t="inlineStr">
        <is>
          <t>Típico: 0.85-0.95</t>
        </is>
      </c>
    </row>
    <row r="67">
      <c r="A67" s="5" t="inlineStr">
        <is>
          <t>Capacidad requerida</t>
        </is>
      </c>
      <c r="B67" s="17">
        <f>(D60*B63)/(B25*B65*B66)</f>
        <v/>
      </c>
      <c r="C67" s="7" t="inlineStr">
        <is>
          <t>Ah</t>
        </is>
      </c>
      <c r="D67" s="8">
        <f> (Consumo × Días) / (Vbat × DoD × Efic)</f>
        <v/>
      </c>
    </row>
    <row r="68" ht="20" customHeight="1">
      <c r="A68" s="21" t="inlineStr">
        <is>
          <t>☀️ DIMENSIONAMIENTO DEL ARREGLO FOTOVOLTAICO</t>
        </is>
      </c>
    </row>
    <row r="69">
      <c r="A69" s="4" t="inlineStr">
        <is>
          <t>PARÁMETRO</t>
        </is>
      </c>
      <c r="B69" s="4" t="inlineStr">
        <is>
          <t>VALOR</t>
        </is>
      </c>
      <c r="C69" s="4" t="inlineStr">
        <is>
          <t>UNIDAD</t>
        </is>
      </c>
      <c r="D69" s="4" t="inlineStr">
        <is>
          <t>FÓRMULA / DESCRIPCIÓN</t>
        </is>
      </c>
    </row>
    <row r="70">
      <c r="A70" s="5" t="inlineStr">
        <is>
          <t>Potencia FV requerida</t>
        </is>
      </c>
      <c r="B70" s="17">
        <f>D60/(B31*B33)</f>
        <v/>
      </c>
      <c r="C70" s="7" t="inlineStr">
        <is>
          <t>W</t>
        </is>
      </c>
      <c r="D70" s="8">
        <f> Consumo / (HSP × Factor_pérdidas)</f>
        <v/>
      </c>
    </row>
    <row r="71">
      <c r="A71" s="5" t="inlineStr">
        <is>
          <t>Paneles necesarios (teórico)</t>
        </is>
      </c>
      <c r="B71" s="13">
        <f>B70/B5</f>
        <v/>
      </c>
      <c r="C71" s="7" t="inlineStr">
        <is>
          <t>paneles</t>
        </is>
      </c>
      <c r="D71" s="8">
        <f> Potencia_req / Pmax_panel</f>
        <v/>
      </c>
    </row>
    <row r="73">
      <c r="A73" s="22" t="inlineStr">
        <is>
          <t>⚠️ DISEÑO DE STRING (Ingresar valores según modelo de inversor)</t>
        </is>
      </c>
    </row>
    <row r="74">
      <c r="A74" s="4" t="inlineStr">
        <is>
          <t>PARÁMETRO</t>
        </is>
      </c>
      <c r="B74" s="4" t="inlineStr">
        <is>
          <t>VALOR</t>
        </is>
      </c>
      <c r="C74" s="4" t="inlineStr">
        <is>
          <t>UNIDAD</t>
        </is>
      </c>
      <c r="D74" s="4" t="inlineStr">
        <is>
          <t>DESCRIPCIÓN</t>
        </is>
      </c>
    </row>
    <row r="75">
      <c r="A75" s="5" t="inlineStr">
        <is>
          <t>Paneles por string (serie)</t>
        </is>
      </c>
      <c r="B75" s="15" t="n">
        <v>2</v>
      </c>
      <c r="C75" s="7" t="inlineStr">
        <is>
          <t>paneles</t>
        </is>
      </c>
      <c r="D75" s="23" t="inlineStr">
        <is>
          <t>⚠️ EDITABLE: Según diseño del instalador</t>
        </is>
      </c>
    </row>
    <row r="76">
      <c r="A76" s="5" t="inlineStr">
        <is>
          <t>Número de strings (paralelo)</t>
        </is>
      </c>
      <c r="B76" s="24">
        <f>ROUNDUP(B71/B75,0)</f>
        <v/>
      </c>
      <c r="C76" s="7" t="inlineStr">
        <is>
          <t>strings</t>
        </is>
      </c>
      <c r="D76" s="8">
        <f> ROUNDUP(Paneles_teorico / Paneles_serie)</f>
        <v/>
      </c>
    </row>
    <row r="77">
      <c r="A77" s="5" t="inlineStr">
        <is>
          <t>Paneles totales a instalar</t>
        </is>
      </c>
      <c r="B77" s="25">
        <f>B75*B76</f>
        <v/>
      </c>
      <c r="C77" s="7" t="inlineStr">
        <is>
          <t>paneles</t>
        </is>
      </c>
      <c r="D77" s="8">
        <f> Paneles_serie × Num_strings</f>
        <v/>
      </c>
    </row>
    <row r="79">
      <c r="A79" s="22" t="inlineStr">
        <is>
          <t>⚙️ PARÁMETROS DEL STRING (Ingresar valores reales del diseño)</t>
        </is>
      </c>
    </row>
    <row r="80">
      <c r="A80" s="4" t="inlineStr">
        <is>
          <t>PARÁMETRO</t>
        </is>
      </c>
      <c r="B80" s="4" t="inlineStr">
        <is>
          <t>VALOR</t>
        </is>
      </c>
      <c r="C80" s="4" t="inlineStr">
        <is>
          <t>UNIDAD</t>
        </is>
      </c>
      <c r="D80" s="4" t="inlineStr">
        <is>
          <t>DESCRIPCIÓN</t>
        </is>
      </c>
    </row>
    <row r="81">
      <c r="A81" s="5" t="inlineStr">
        <is>
          <t>Voltaje del string (Vstring)</t>
        </is>
      </c>
      <c r="B81" s="16" t="n">
        <v>73</v>
      </c>
      <c r="C81" s="7" t="inlineStr">
        <is>
          <t>V</t>
        </is>
      </c>
      <c r="D81" s="23" t="inlineStr">
        <is>
          <t>⚠️ EDITABLE: Voltaje real del string según diseño</t>
        </is>
      </c>
    </row>
    <row r="82">
      <c r="A82" s="5" t="inlineStr">
        <is>
          <t>Corriente del string (Istring)</t>
        </is>
      </c>
      <c r="B82" s="9" t="n">
        <v>10.96</v>
      </c>
      <c r="C82" s="7" t="inlineStr">
        <is>
          <t>A</t>
        </is>
      </c>
      <c r="D82" s="23" t="inlineStr">
        <is>
          <t>⚠️ EDITABLE: Corriente real del string según diseño</t>
        </is>
      </c>
    </row>
    <row r="83">
      <c r="A83" s="5" t="inlineStr">
        <is>
          <t>Potencia del string (Pstring)</t>
        </is>
      </c>
      <c r="B83" s="16" t="n">
        <v>800</v>
      </c>
      <c r="C83" s="7" t="inlineStr">
        <is>
          <t>W</t>
        </is>
      </c>
      <c r="D83" s="23" t="inlineStr">
        <is>
          <t>⚠️ EDITABLE: Potencia real del string según diseño</t>
        </is>
      </c>
    </row>
    <row r="84">
      <c r="A84" s="5" t="inlineStr">
        <is>
          <t>Potencia total del arreglo</t>
        </is>
      </c>
      <c r="B84" s="19">
        <f>B83*B76</f>
        <v/>
      </c>
      <c r="C84" s="7" t="inlineStr">
        <is>
          <t>W</t>
        </is>
      </c>
      <c r="D84" s="8">
        <f> Pstring × Num_strings</f>
        <v/>
      </c>
    </row>
    <row r="85" ht="20" customHeight="1">
      <c r="A85" s="26" t="inlineStr">
        <is>
          <t>⚠️ VALIDACIONES DE SEGURIDAD (NEC 690)</t>
        </is>
      </c>
    </row>
    <row r="86">
      <c r="A86" s="4" t="inlineStr">
        <is>
          <t>VALIDACIÓN</t>
        </is>
      </c>
      <c r="B86" s="4" t="inlineStr">
        <is>
          <t>RESULTADO</t>
        </is>
      </c>
      <c r="C86" s="4" t="inlineStr">
        <is>
          <t>ESTADO</t>
        </is>
      </c>
      <c r="D86" s="4" t="inlineStr">
        <is>
          <t>DESCRIPCIÓN</t>
        </is>
      </c>
    </row>
    <row r="87">
      <c r="A87" s="5" t="inlineStr">
        <is>
          <t>Voc string × 1.25 &lt; Vmax inversor</t>
        </is>
      </c>
      <c r="B87" s="7">
        <f>(B36*B75*1.25)&amp;" &lt; "&amp;B19</f>
        <v/>
      </c>
      <c r="C87" s="27">
        <f>IF((B36*B75*1.25)&lt;B19,"✅ OK","❌ FALLA")</f>
        <v/>
      </c>
      <c r="D87" s="8" t="inlineStr">
        <is>
          <t>NEC 690.7 - Factor de seguridad 125%</t>
        </is>
      </c>
    </row>
    <row r="88">
      <c r="A88" s="5" t="inlineStr">
        <is>
          <t>Isc string × 1.25 &lt; Imax inversor</t>
        </is>
      </c>
      <c r="B88" s="7">
        <f>(B37*B76*1.25)&amp;" &lt; "&amp;B20</f>
        <v/>
      </c>
      <c r="C88" s="27">
        <f>IF((B37*B76*1.25)&lt;B20,"✅ OK","❌ FALLA")</f>
        <v/>
      </c>
      <c r="D88" s="8" t="inlineStr">
        <is>
          <t>NEC 690.8 - Factor de seguridad 125%</t>
        </is>
      </c>
    </row>
    <row r="89">
      <c r="A89" s="5" t="inlineStr">
        <is>
          <t>Potencia arreglo ≤ Pinv × 1.2</t>
        </is>
      </c>
      <c r="B89" s="7">
        <f>B84&amp;" ≤ "&amp;(B22*1.2)</f>
        <v/>
      </c>
      <c r="C89" s="27">
        <f>IF(B84&lt;=(B22*1.2),"✅ OK","⚠️ SOBRECARGA")</f>
        <v/>
      </c>
      <c r="D89" s="8" t="inlineStr">
        <is>
          <t>Sobredimensión permitida 120%</t>
        </is>
      </c>
    </row>
    <row r="90">
      <c r="A90" s="5" t="inlineStr">
        <is>
          <t>Voltaje batería = Voltaje inversor</t>
        </is>
      </c>
      <c r="B90" s="7">
        <f>B25&amp;" V"</f>
        <v/>
      </c>
      <c r="C90" s="27">
        <f>IF(B25=B25,"✅ OK","❌ VERIF")</f>
        <v/>
      </c>
      <c r="D90" s="8" t="inlineStr">
        <is>
          <t>Verificar compatibilidad</t>
        </is>
      </c>
    </row>
  </sheetData>
  <conditionalFormatting sqref="C87">
    <cfRule type="cellIs" priority="1" operator="containsText" dxfId="0">
      <formula>"❌"</formula>
    </cfRule>
  </conditionalFormatting>
  <dataValidations count="1">
    <dataValidation sqref="B64" showDropDown="0" showInputMessage="0" showErrorMessage="0" allowBlank="0" type="list">
      <formula1>"Plomo-ácido,AGM,Gel,Litio"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2025-12-13T06:52:32Z</dcterms:created>
  <dcterms:modified xsi:type="dcterms:W3CDTF">2025-12-13T06:55:21Z</dcterms:modified>
</cp:coreProperties>
</file>