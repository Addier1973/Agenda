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  <sheet name="Lista de Materiales" sheetId="2" state="visible" r:id="rId2"/>
    <sheet name="Informe Cli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.00"/>
  </numFmts>
  <fonts count="2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color rgb="000070C0"/>
      <sz val="10"/>
    </font>
    <font>
      <i val="1"/>
      <sz val="9"/>
    </font>
    <font>
      <b val="1"/>
      <color rgb="00375623"/>
      <sz val="10"/>
    </font>
    <font>
      <b val="1"/>
      <sz val="11"/>
    </font>
    <font>
      <b val="1"/>
      <i val="1"/>
      <color rgb="00C00000"/>
      <sz val="9"/>
    </font>
    <font>
      <b val="1"/>
      <color rgb="00006100"/>
      <sz val="10"/>
    </font>
    <font>
      <b val="1"/>
    </font>
    <font>
      <b val="1"/>
      <sz val="9"/>
    </font>
    <font>
      <sz val="9"/>
    </font>
    <font>
      <b val="1"/>
      <color rgb="000070C0"/>
    </font>
    <font>
      <b val="1"/>
      <color rgb="000070C0"/>
      <sz val="11"/>
    </font>
    <font>
      <b val="1"/>
      <color rgb="00FFFFFF"/>
      <sz val="13"/>
    </font>
    <font>
      <b val="1"/>
      <i val="1"/>
      <sz val="10"/>
    </font>
    <font>
      <b val="1"/>
      <color rgb="00FFFFFF"/>
      <sz val="20"/>
    </font>
    <font>
      <b val="1"/>
      <color rgb="00203864"/>
      <sz val="14"/>
    </font>
    <font>
      <b val="1"/>
      <sz val="12"/>
    </font>
  </fonts>
  <fills count="2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9C27B0"/>
        <bgColor rgb="009C27B0"/>
      </patternFill>
    </fill>
    <fill>
      <patternFill patternType="solid">
        <fgColor rgb="00FF9800"/>
        <bgColor rgb="00FF9800"/>
      </patternFill>
    </fill>
    <fill>
      <patternFill patternType="solid">
        <fgColor rgb="00E74C3C"/>
        <bgColor rgb="00E74C3C"/>
      </patternFill>
    </fill>
    <fill>
      <patternFill patternType="solid">
        <fgColor rgb="00E2EFDA"/>
        <bgColor rgb="00E2EFDA"/>
      </patternFill>
    </fill>
    <fill>
      <patternFill patternType="solid">
        <fgColor rgb="0027AE60"/>
        <bgColor rgb="0027AE60"/>
      </patternFill>
    </fill>
    <fill>
      <patternFill patternType="solid">
        <fgColor rgb="008E44AD"/>
        <bgColor rgb="008E44AD"/>
      </patternFill>
    </fill>
    <fill>
      <patternFill patternType="solid">
        <fgColor rgb="002980B9"/>
        <bgColor rgb="002980B9"/>
      </patternFill>
    </fill>
    <fill>
      <patternFill patternType="solid">
        <fgColor rgb="00E67E22"/>
        <bgColor rgb="00E67E22"/>
      </patternFill>
    </fill>
    <fill>
      <patternFill patternType="solid">
        <fgColor rgb="00C00000"/>
        <b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1976D2"/>
        <bgColor rgb="001976D2"/>
      </patternFill>
    </fill>
    <fill>
      <patternFill patternType="solid">
        <fgColor rgb="00E3F2FD"/>
        <bgColor rgb="00E3F2FD"/>
      </patternFill>
    </fill>
    <fill>
      <patternFill patternType="solid">
        <fgColor rgb="00B3E5FC"/>
        <bgColor rgb="00B3E5FC"/>
      </patternFill>
    </fill>
    <fill>
      <patternFill patternType="solid">
        <fgColor rgb="00FFF9C4"/>
        <bgColor rgb="00FFF9C4"/>
      </patternFill>
    </fill>
    <fill>
      <patternFill patternType="solid">
        <fgColor rgb="004CAF50"/>
        <bgColor rgb="004CAF50"/>
      </patternFill>
    </fill>
    <fill>
      <patternFill patternType="solid">
        <fgColor rgb="00FFF3E0"/>
        <bgColor rgb="00FFF3E0"/>
      </patternFill>
    </fill>
    <fill>
      <patternFill patternType="solid">
        <fgColor rgb="00E91E63"/>
        <bgColor rgb="00E91E63"/>
      </patternFill>
    </fill>
    <fill>
      <patternFill patternType="solid">
        <fgColor rgb="0070AD47"/>
        <bgColor rgb="0070AD4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2" fontId="6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2" fontId="8" fillId="10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4" fontId="4" fillId="11" borderId="1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" fontId="8" fillId="10" borderId="1" applyAlignment="1" pivotButton="0" quotePrefix="0" xfId="0">
      <alignment horizontal="center" vertical="center"/>
    </xf>
    <xf numFmtId="1" fontId="4" fillId="11" borderId="1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4" fillId="1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14" fillId="0" borderId="1" applyAlignment="1" pivotButton="0" quotePrefix="0" xfId="0">
      <alignment horizontal="center"/>
    </xf>
    <xf numFmtId="165" fontId="15" fillId="6" borderId="1" applyAlignment="1" pivotButton="0" quotePrefix="0" xfId="0">
      <alignment horizontal="right"/>
    </xf>
    <xf numFmtId="165" fontId="0" fillId="18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2" fillId="19" borderId="1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  <xf numFmtId="165" fontId="2" fillId="19" borderId="1" applyAlignment="1" pivotButton="0" quotePrefix="0" xfId="0">
      <alignment horizontal="right"/>
    </xf>
    <xf numFmtId="0" fontId="3" fillId="17" borderId="1" applyAlignment="1" pivotButton="0" quotePrefix="0" xfId="0">
      <alignment horizontal="right"/>
    </xf>
    <xf numFmtId="165" fontId="3" fillId="17" borderId="1" applyAlignment="1" pivotButton="0" quotePrefix="0" xfId="0">
      <alignment horizontal="right"/>
    </xf>
    <xf numFmtId="0" fontId="9" fillId="20" borderId="1" applyAlignment="1" pivotButton="0" quotePrefix="0" xfId="0">
      <alignment horizontal="right"/>
    </xf>
    <xf numFmtId="165" fontId="16" fillId="6" borderId="1" applyAlignment="1" pivotButton="0" quotePrefix="0" xfId="0">
      <alignment horizontal="right"/>
    </xf>
    <xf numFmtId="0" fontId="17" fillId="21" borderId="1" applyAlignment="1" pivotButton="0" quotePrefix="0" xfId="0">
      <alignment horizontal="right"/>
    </xf>
    <xf numFmtId="165" fontId="17" fillId="21" borderId="1" applyAlignment="1" pivotButton="0" quotePrefix="0" xfId="0">
      <alignment horizontal="right"/>
    </xf>
    <xf numFmtId="0" fontId="18" fillId="22" borderId="0" applyAlignment="1" pivotButton="0" quotePrefix="0" xfId="0">
      <alignment horizontal="left" wrapText="1"/>
    </xf>
    <xf numFmtId="0" fontId="19" fillId="2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1" fillId="18" borderId="0" pivotButton="0" quotePrefix="0" xfId="0"/>
    <xf numFmtId="0" fontId="12" fillId="0" borderId="0" pivotButton="0" quotePrefix="0" xfId="0"/>
    <xf numFmtId="0" fontId="15" fillId="6" borderId="0" pivotButton="0" quotePrefix="0" xfId="0"/>
    <xf numFmtId="0" fontId="3" fillId="23" borderId="0" pivotButton="0" quotePrefix="0" xfId="0"/>
    <xf numFmtId="49" fontId="0" fillId="0" borderId="0" pivotButton="0" quotePrefix="0" xfId="0"/>
    <xf numFmtId="0" fontId="3" fillId="24" borderId="0" pivotButton="0" quotePrefix="0" xfId="0"/>
    <xf numFmtId="0" fontId="3" fillId="8" borderId="0" pivotButton="0" quotePrefix="0" xfId="0"/>
  </cellXfs>
  <cellStyles count="1">
    <cellStyle name="Normal" xfId="0" builtinId="0" hidden="0"/>
  </cellStyles>
  <dxfs count="1">
    <dxf>
      <font>
        <b val="1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50" customWidth="1" min="4" max="4"/>
  </cols>
  <sheetData>
    <row r="1" ht="25" customHeight="1">
      <c r="A1" s="1" t="inlineStr">
        <is>
          <t>CALCULADORA SOLAR V5 - METODOLOGÍA PROFESIONAL</t>
        </is>
      </c>
    </row>
    <row r="2">
      <c r="A2" s="2" t="inlineStr">
        <is>
          <t>Diseño según NEC, IEC y estándares internacionales</t>
        </is>
      </c>
    </row>
    <row r="4" ht="20" customHeight="1">
      <c r="A4" s="3" t="inlineStr">
        <is>
          <t>☀️ ESPECIFICACIONES DEL MÓDULO SOLAR (De hoja técnica)</t>
        </is>
      </c>
    </row>
    <row r="5">
      <c r="A5" s="4" t="inlineStr">
        <is>
          <t>PARÁMETRO</t>
        </is>
      </c>
      <c r="B5" s="4" t="inlineStr">
        <is>
          <t>VALOR</t>
        </is>
      </c>
      <c r="C5" s="4" t="inlineStr">
        <is>
          <t>UNIDAD</t>
        </is>
      </c>
      <c r="D5" s="4" t="inlineStr">
        <is>
          <t>DESCRIPCIÓN</t>
        </is>
      </c>
    </row>
    <row r="6">
      <c r="A6" s="5" t="inlineStr">
        <is>
          <t>Potencia nominal (Pmax)</t>
        </is>
      </c>
      <c r="B6" s="6" t="n">
        <v>400</v>
      </c>
      <c r="C6" s="7" t="inlineStr">
        <is>
          <t>W</t>
        </is>
      </c>
      <c r="D6" s="8" t="inlineStr">
        <is>
          <t>Potencia pico a STC (1000W/m², 25°C, AM1.5)</t>
        </is>
      </c>
    </row>
    <row r="7">
      <c r="A7" s="5" t="inlineStr">
        <is>
          <t>Voltaje MPP (Vmp)</t>
        </is>
      </c>
      <c r="B7" s="9" t="n">
        <v>36.5</v>
      </c>
      <c r="C7" s="7" t="inlineStr">
        <is>
          <t>V</t>
        </is>
      </c>
      <c r="D7" s="8" t="inlineStr">
        <is>
          <t>Voltaje a máxima potencia (STC)</t>
        </is>
      </c>
    </row>
    <row r="8">
      <c r="A8" s="5" t="inlineStr">
        <is>
          <t>Corriente MPP (Imp)</t>
        </is>
      </c>
      <c r="B8" s="9" t="n">
        <v>10.96</v>
      </c>
      <c r="C8" s="7" t="inlineStr">
        <is>
          <t>A</t>
        </is>
      </c>
      <c r="D8" s="8" t="inlineStr">
        <is>
          <t>Corriente a máxima potencia (STC)</t>
        </is>
      </c>
    </row>
    <row r="9">
      <c r="A9" s="5" t="inlineStr">
        <is>
          <t>Voltaje circuito abierto (Voc)</t>
        </is>
      </c>
      <c r="B9" s="9" t="n">
        <v>45.5</v>
      </c>
      <c r="C9" s="7" t="inlineStr">
        <is>
          <t>V</t>
        </is>
      </c>
      <c r="D9" s="8" t="inlineStr">
        <is>
          <t>⚠️ CRÍTICO: De hoja técnica del fabricante</t>
        </is>
      </c>
    </row>
    <row r="10">
      <c r="A10" s="5" t="inlineStr">
        <is>
          <t>Corriente cortocircuito (Isc)</t>
        </is>
      </c>
      <c r="B10" s="9" t="n">
        <v>11.55</v>
      </c>
      <c r="C10" s="7" t="inlineStr">
        <is>
          <t>A</t>
        </is>
      </c>
      <c r="D10" s="8" t="inlineStr">
        <is>
          <t>⚠️ CRÍTICO: De hoja técnica del fabricante</t>
        </is>
      </c>
    </row>
    <row r="11">
      <c r="A11" s="5" t="inlineStr">
        <is>
          <t>Coef. temp. Voc</t>
        </is>
      </c>
      <c r="B11" s="9" t="n">
        <v>-0.28</v>
      </c>
      <c r="C11" s="7" t="inlineStr">
        <is>
          <t>%/°C</t>
        </is>
      </c>
      <c r="D11" s="8" t="inlineStr">
        <is>
          <t>Típico: -0.28 a -0.35%/°C</t>
        </is>
      </c>
    </row>
    <row r="12">
      <c r="A12" s="5" t="inlineStr">
        <is>
          <t>Coef. temp. Isc</t>
        </is>
      </c>
      <c r="B12" s="9" t="n">
        <v>0.05</v>
      </c>
      <c r="C12" s="7" t="inlineStr">
        <is>
          <t>%/°C</t>
        </is>
      </c>
      <c r="D12" s="8" t="inlineStr">
        <is>
          <t>Típico: +0.04 a +0.06%/°C</t>
        </is>
      </c>
    </row>
    <row r="13">
      <c r="A13" s="5" t="inlineStr">
        <is>
          <t>Coef. temp. Pmax</t>
        </is>
      </c>
      <c r="B13" s="9" t="n">
        <v>-0.37</v>
      </c>
      <c r="C13" s="7" t="inlineStr">
        <is>
          <t>%/°C</t>
        </is>
      </c>
      <c r="D13" s="8" t="inlineStr">
        <is>
          <t>Típico: -0.37 a -0.45%/°C</t>
        </is>
      </c>
    </row>
    <row r="14" ht="20" customHeight="1">
      <c r="A14" s="10" t="inlineStr">
        <is>
          <t>🔌 ESPECIFICACIONES DEL INVERSOR (De hoja técnica)</t>
        </is>
      </c>
    </row>
    <row r="15">
      <c r="A15" s="4" t="inlineStr">
        <is>
          <t>PARÁMETRO</t>
        </is>
      </c>
      <c r="B15" s="4" t="inlineStr">
        <is>
          <t>VALOR</t>
        </is>
      </c>
      <c r="C15" s="4" t="inlineStr">
        <is>
          <t>UNIDAD</t>
        </is>
      </c>
      <c r="D15" s="4" t="inlineStr">
        <is>
          <t>DESCRIPCIÓN</t>
        </is>
      </c>
    </row>
    <row r="16">
      <c r="A16" s="5" t="inlineStr">
        <is>
          <t>Voltaje MPPT mínimo</t>
        </is>
      </c>
      <c r="B16" s="6" t="n">
        <v>120</v>
      </c>
      <c r="C16" s="7" t="inlineStr">
        <is>
          <t>V</t>
        </is>
      </c>
      <c r="D16" s="8" t="inlineStr">
        <is>
          <t>Voltaje mínimo para inicio de MPPT</t>
        </is>
      </c>
    </row>
    <row r="17">
      <c r="A17" s="5" t="inlineStr">
        <is>
          <t>Voltaje MPPT máximo</t>
        </is>
      </c>
      <c r="B17" s="6" t="n">
        <v>500</v>
      </c>
      <c r="C17" s="7" t="inlineStr">
        <is>
          <t>V</t>
        </is>
      </c>
      <c r="D17" s="8" t="inlineStr">
        <is>
          <t>Voltaje máximo para operación MPPT</t>
        </is>
      </c>
    </row>
    <row r="18">
      <c r="A18" s="5" t="inlineStr">
        <is>
          <t>Voltaje DC máximo absoluto</t>
        </is>
      </c>
      <c r="B18" s="6" t="n">
        <v>600</v>
      </c>
      <c r="C18" s="7" t="inlineStr">
        <is>
          <t>V</t>
        </is>
      </c>
      <c r="D18" s="8" t="inlineStr">
        <is>
          <t>⚠️ NO EXCEDER - Voltaje máximo permitido</t>
        </is>
      </c>
    </row>
    <row r="19">
      <c r="A19" s="5" t="inlineStr">
        <is>
          <t>Corriente DC máxima por MPPT</t>
        </is>
      </c>
      <c r="B19" s="6" t="n">
        <v>15</v>
      </c>
      <c r="C19" s="7" t="inlineStr">
        <is>
          <t>A</t>
        </is>
      </c>
      <c r="D19" s="8" t="inlineStr">
        <is>
          <t>Corriente máxima de entrada por string/MPPT</t>
        </is>
      </c>
    </row>
    <row r="20">
      <c r="A20" s="5" t="inlineStr">
        <is>
          <t>Número de MPPT</t>
        </is>
      </c>
      <c r="B20" s="6" t="n">
        <v>2</v>
      </c>
      <c r="C20" s="7" t="inlineStr"/>
      <c r="D20" s="8" t="inlineStr">
        <is>
          <t>Entradas MPPT independientes</t>
        </is>
      </c>
    </row>
    <row r="21">
      <c r="A21" s="5" t="inlineStr">
        <is>
          <t>Potencia nominal AC</t>
        </is>
      </c>
      <c r="B21" s="6" t="n">
        <v>6000</v>
      </c>
      <c r="C21" s="7" t="inlineStr">
        <is>
          <t>W</t>
        </is>
      </c>
      <c r="D21" s="8" t="inlineStr">
        <is>
          <t>Potencia de salida AC nominal</t>
        </is>
      </c>
    </row>
    <row r="22">
      <c r="A22" s="5" t="inlineStr">
        <is>
          <t>Voltaje AC nominal</t>
        </is>
      </c>
      <c r="B22" s="6" t="n">
        <v>110</v>
      </c>
      <c r="C22" s="7" t="inlineStr">
        <is>
          <t>V</t>
        </is>
      </c>
      <c r="D22" s="8" t="inlineStr">
        <is>
          <t>Voltaje de salida AC</t>
        </is>
      </c>
    </row>
    <row r="23">
      <c r="A23" s="5" t="inlineStr">
        <is>
          <t>Frecuencia</t>
        </is>
      </c>
      <c r="B23" s="6" t="n">
        <v>60</v>
      </c>
      <c r="C23" s="7" t="inlineStr">
        <is>
          <t>Hz</t>
        </is>
      </c>
      <c r="D23" s="8" t="inlineStr">
        <is>
          <t>Frecuencia de salida (50/60 Hz)</t>
        </is>
      </c>
    </row>
    <row r="24">
      <c r="A24" s="5" t="inlineStr">
        <is>
          <t>Voltaje batería nominal</t>
        </is>
      </c>
      <c r="B24" s="6" t="n">
        <v>48</v>
      </c>
      <c r="C24" s="7" t="inlineStr">
        <is>
          <t>V</t>
        </is>
      </c>
      <c r="D24" s="8" t="inlineStr">
        <is>
          <t>Para sistemas híbridos (12/24/48/96V)</t>
        </is>
      </c>
    </row>
    <row r="25" ht="20" customHeight="1">
      <c r="A25" s="11" t="inlineStr">
        <is>
          <t>🌡️ DATOS AMBIENTALES DEL SITIO</t>
        </is>
      </c>
    </row>
    <row r="26">
      <c r="A26" s="4" t="inlineStr">
        <is>
          <t>PARÁMETRO</t>
        </is>
      </c>
      <c r="B26" s="4" t="inlineStr">
        <is>
          <t>VALOR</t>
        </is>
      </c>
      <c r="C26" s="4" t="inlineStr">
        <is>
          <t>UNIDAD</t>
        </is>
      </c>
      <c r="D26" s="4" t="inlineStr">
        <is>
          <t>DESCRIPCIÓN</t>
        </is>
      </c>
    </row>
    <row r="27">
      <c r="A27" s="5" t="inlineStr">
        <is>
          <t>Temp. mínima histórica</t>
        </is>
      </c>
      <c r="B27" s="6" t="n">
        <v>15</v>
      </c>
      <c r="C27" s="7" t="inlineStr">
        <is>
          <t>°C</t>
        </is>
      </c>
      <c r="D27" s="8" t="inlineStr">
        <is>
          <t>Para cálculo de Voc máximo</t>
        </is>
      </c>
    </row>
    <row r="28">
      <c r="A28" s="5" t="inlineStr">
        <is>
          <t>Temp. máxima promedio</t>
        </is>
      </c>
      <c r="B28" s="6" t="n">
        <v>35</v>
      </c>
      <c r="C28" s="7" t="inlineStr">
        <is>
          <t>°C</t>
        </is>
      </c>
      <c r="D28" s="8" t="inlineStr">
        <is>
          <t>Para cálculo de corrientes máximas</t>
        </is>
      </c>
    </row>
    <row r="29">
      <c r="A29" s="5" t="inlineStr">
        <is>
          <t>Temp. operación célula (NOCT)</t>
        </is>
      </c>
      <c r="B29" s="6" t="n">
        <v>47</v>
      </c>
      <c r="C29" s="7" t="inlineStr">
        <is>
          <t>°C</t>
        </is>
      </c>
      <c r="D29" s="8" t="inlineStr">
        <is>
          <t>Típico: 45-47°C según fabricante</t>
        </is>
      </c>
    </row>
    <row r="30">
      <c r="A30" s="5" t="inlineStr">
        <is>
          <t>HSP promedio anual</t>
        </is>
      </c>
      <c r="B30" s="9" t="n">
        <v>5</v>
      </c>
      <c r="C30" s="7" t="inlineStr">
        <is>
          <t>h/día</t>
        </is>
      </c>
      <c r="D30" s="8" t="inlineStr">
        <is>
          <t>Horas Sol Pico - Consultar atlas solar</t>
        </is>
      </c>
    </row>
    <row r="31">
      <c r="A31" s="5" t="inlineStr">
        <is>
          <t>HSP mes crítico</t>
        </is>
      </c>
      <c r="B31" s="9" t="n">
        <v>4</v>
      </c>
      <c r="C31" s="7" t="inlineStr">
        <is>
          <t>h/día</t>
        </is>
      </c>
      <c r="D31" s="8" t="inlineStr">
        <is>
          <t>Mes con menor irradiación</t>
        </is>
      </c>
    </row>
    <row r="32">
      <c r="A32" s="5" t="inlineStr">
        <is>
          <t>Factor de pérdidas del sistema</t>
        </is>
      </c>
      <c r="B32" s="9" t="n">
        <v>0.8</v>
      </c>
      <c r="C32" s="7" t="inlineStr"/>
      <c r="D32" s="8" t="inlineStr">
        <is>
          <t>Típico: 0.75-0.85 (80% = 0.80)</t>
        </is>
      </c>
    </row>
    <row r="33" ht="20" customHeight="1">
      <c r="A33" s="12" t="inlineStr">
        <is>
          <t>⚡ CORRECCIONES POR TEMPERATURA (Calculados automáticamente)</t>
        </is>
      </c>
    </row>
    <row r="34">
      <c r="A34" s="4" t="inlineStr">
        <is>
          <t>PARÁMETRO</t>
        </is>
      </c>
      <c r="B34" s="4" t="inlineStr">
        <is>
          <t>VALOR</t>
        </is>
      </c>
      <c r="C34" s="4" t="inlineStr">
        <is>
          <t>UNIDAD</t>
        </is>
      </c>
      <c r="D34" s="4" t="inlineStr">
        <is>
          <t>FÓRMULA / DESCRIPCIÓN</t>
        </is>
      </c>
    </row>
    <row r="35">
      <c r="A35" s="5" t="inlineStr">
        <is>
          <t>Voc a temp. mínima</t>
        </is>
      </c>
      <c r="B35" s="13">
        <f>B8*(1+(B10/100)*(B28-25))</f>
        <v/>
      </c>
      <c r="C35" s="7" t="inlineStr">
        <is>
          <t>V</t>
        </is>
      </c>
      <c r="D35" s="8">
        <f> Voc × [1 + (Coef_Voc/100) × (Tmin - 25)]</f>
        <v/>
      </c>
    </row>
    <row r="36">
      <c r="A36" s="5" t="inlineStr">
        <is>
          <t>Vmp a temp. operación</t>
        </is>
      </c>
      <c r="B36" s="13">
        <f>B6*(1+(B12/100)*(B30-25))</f>
        <v/>
      </c>
      <c r="C36" s="7" t="inlineStr">
        <is>
          <t>V</t>
        </is>
      </c>
      <c r="D36" s="8">
        <f> Vmp × [1 + (Coef_Pmax/100) × (Top - 25)]</f>
        <v/>
      </c>
    </row>
    <row r="37">
      <c r="A37" s="5" t="inlineStr">
        <is>
          <t>Isc a temp. máxima</t>
        </is>
      </c>
      <c r="B37" s="13">
        <f>B9*(1+(B11/100)*(B29-25))</f>
        <v/>
      </c>
      <c r="C37" s="7" t="inlineStr">
        <is>
          <t>A</t>
        </is>
      </c>
      <c r="D37" s="8">
        <f> Isc × [1 + (Coef_Isc/100) × (Tmax - 25)]</f>
        <v/>
      </c>
    </row>
    <row r="38" ht="20" customHeight="1">
      <c r="A38" s="14" t="inlineStr">
        <is>
          <t>💡 CÁLCULO DE CONSUMO ELÉCTRICO</t>
        </is>
      </c>
    </row>
    <row r="39">
      <c r="A39" s="4" t="inlineStr">
        <is>
          <t>EQUIPO</t>
        </is>
      </c>
      <c r="B39" s="4" t="inlineStr">
        <is>
          <t>POTENCIA (W)</t>
        </is>
      </c>
      <c r="C39" s="4" t="inlineStr">
        <is>
          <t>HORAS/DÍA</t>
        </is>
      </c>
      <c r="D39" s="4" t="inlineStr">
        <is>
          <t>CONSUMO (Wh/día)</t>
        </is>
      </c>
    </row>
    <row r="40">
      <c r="A40" s="5" t="inlineStr">
        <is>
          <t>Cocina de inducción</t>
        </is>
      </c>
      <c r="B40" s="15" t="n">
        <v>1</v>
      </c>
      <c r="C40" s="16" t="n">
        <v>1800</v>
      </c>
      <c r="D40" s="17">
        <f>B40*C40</f>
        <v/>
      </c>
    </row>
    <row r="41">
      <c r="A41" s="5" t="inlineStr">
        <is>
          <t>Refrigerador</t>
        </is>
      </c>
      <c r="B41" s="15" t="n">
        <v>1</v>
      </c>
      <c r="C41" s="16" t="n">
        <v>150</v>
      </c>
      <c r="D41" s="17">
        <f>B41*C41</f>
        <v/>
      </c>
    </row>
    <row r="42">
      <c r="A42" s="5" t="inlineStr">
        <is>
          <t>Nevera</t>
        </is>
      </c>
      <c r="B42" s="15" t="n">
        <v>1</v>
      </c>
      <c r="C42" s="16" t="n">
        <v>120</v>
      </c>
      <c r="D42" s="17">
        <f>B42*C42</f>
        <v/>
      </c>
    </row>
    <row r="43">
      <c r="A43" s="5" t="inlineStr">
        <is>
          <t>Horno de aire</t>
        </is>
      </c>
      <c r="B43" s="15" t="n">
        <v>1</v>
      </c>
      <c r="C43" s="16" t="n">
        <v>1500</v>
      </c>
      <c r="D43" s="17">
        <f>B43*C43</f>
        <v/>
      </c>
    </row>
    <row r="44">
      <c r="A44" s="5" t="inlineStr">
        <is>
          <t>Batidora</t>
        </is>
      </c>
      <c r="B44" s="15" t="n">
        <v>1</v>
      </c>
      <c r="C44" s="16" t="n">
        <v>300</v>
      </c>
      <c r="D44" s="17">
        <f>B44*C44</f>
        <v/>
      </c>
    </row>
    <row r="45">
      <c r="A45" s="5" t="inlineStr">
        <is>
          <t>Microondas</t>
        </is>
      </c>
      <c r="B45" s="15" t="n">
        <v>1</v>
      </c>
      <c r="C45" s="16" t="n">
        <v>1200</v>
      </c>
      <c r="D45" s="17">
        <f>B45*C45</f>
        <v/>
      </c>
    </row>
    <row r="46">
      <c r="A46" s="5" t="inlineStr">
        <is>
          <t>Lavadora</t>
        </is>
      </c>
      <c r="B46" s="15" t="n">
        <v>1</v>
      </c>
      <c r="C46" s="16" t="n">
        <v>400</v>
      </c>
      <c r="D46" s="17">
        <f>B46*C46</f>
        <v/>
      </c>
    </row>
    <row r="47">
      <c r="A47" s="5" t="inlineStr">
        <is>
          <t>Ducha eléctrica</t>
        </is>
      </c>
      <c r="B47" s="15" t="n">
        <v>1</v>
      </c>
      <c r="C47" s="16" t="n">
        <v>4500</v>
      </c>
      <c r="D47" s="17">
        <f>B47*C47</f>
        <v/>
      </c>
    </row>
    <row r="48">
      <c r="A48" s="5" t="inlineStr">
        <is>
          <t>TV 55"</t>
        </is>
      </c>
      <c r="B48" s="15" t="n">
        <v>1</v>
      </c>
      <c r="C48" s="16" t="n">
        <v>120</v>
      </c>
      <c r="D48" s="17">
        <f>B48*C48</f>
        <v/>
      </c>
    </row>
    <row r="49">
      <c r="A49" s="5" t="inlineStr">
        <is>
          <t>Ventiladores</t>
        </is>
      </c>
      <c r="B49" s="15" t="n">
        <v>4</v>
      </c>
      <c r="C49" s="16" t="n">
        <v>60</v>
      </c>
      <c r="D49" s="17">
        <f>B49*C49</f>
        <v/>
      </c>
    </row>
    <row r="50">
      <c r="A50" s="5" t="inlineStr">
        <is>
          <t>Lámparas LED</t>
        </is>
      </c>
      <c r="B50" s="15" t="n">
        <v>15</v>
      </c>
      <c r="C50" s="16" t="n">
        <v>10</v>
      </c>
      <c r="D50" s="17">
        <f>B50*C50</f>
        <v/>
      </c>
    </row>
    <row r="51">
      <c r="A51" s="5" t="inlineStr">
        <is>
          <t>Split (A/C)</t>
        </is>
      </c>
      <c r="B51" s="15" t="n">
        <v>1</v>
      </c>
      <c r="C51" s="16" t="n">
        <v>1200</v>
      </c>
      <c r="D51" s="17">
        <f>B51*C51</f>
        <v/>
      </c>
    </row>
    <row r="52">
      <c r="A52" s="5" t="inlineStr">
        <is>
          <t>Carg. teléfonos</t>
        </is>
      </c>
      <c r="B52" s="15" t="n">
        <v>2</v>
      </c>
      <c r="C52" s="16" t="n">
        <v>10</v>
      </c>
      <c r="D52" s="17">
        <f>B52*C52</f>
        <v/>
      </c>
    </row>
    <row r="53">
      <c r="A53" s="5" t="inlineStr">
        <is>
          <t>Carg. motosierra</t>
        </is>
      </c>
      <c r="B53" s="15" t="n">
        <v>1</v>
      </c>
      <c r="C53" s="16" t="n">
        <v>80</v>
      </c>
      <c r="D53" s="17">
        <f>B53*C53</f>
        <v/>
      </c>
    </row>
    <row r="54">
      <c r="A54" s="5" t="inlineStr">
        <is>
          <t>Radio</t>
        </is>
      </c>
      <c r="B54" s="15" t="n">
        <v>1</v>
      </c>
      <c r="C54" s="16" t="n">
        <v>15</v>
      </c>
      <c r="D54" s="17">
        <f>B54*C54</f>
        <v/>
      </c>
    </row>
    <row r="55">
      <c r="A55" s="5" t="inlineStr">
        <is>
          <t>Teatro casa</t>
        </is>
      </c>
      <c r="B55" s="15" t="n">
        <v>1</v>
      </c>
      <c r="C55" s="16" t="n">
        <v>150</v>
      </c>
      <c r="D55" s="17">
        <f>B55*C55</f>
        <v/>
      </c>
    </row>
    <row r="56">
      <c r="A56" s="5" t="inlineStr">
        <is>
          <t>Voltaje del sistema</t>
        </is>
      </c>
      <c r="B56" s="15" t="n">
        <v>0</v>
      </c>
      <c r="C56" s="16" t="n">
        <v>48</v>
      </c>
      <c r="D56" s="17">
        <f>B56*C56</f>
        <v/>
      </c>
    </row>
    <row r="57">
      <c r="A57" s="5" t="inlineStr">
        <is>
          <t>Frecuencia</t>
        </is>
      </c>
      <c r="B57" s="15" t="n">
        <v>0</v>
      </c>
      <c r="C57" s="16" t="n">
        <v>60</v>
      </c>
      <c r="D57" s="17">
        <f>B57*C57</f>
        <v/>
      </c>
    </row>
    <row r="58">
      <c r="A58" s="5" t="inlineStr">
        <is>
          <t>Tipo de red</t>
        </is>
      </c>
      <c r="B58" s="15" t="n">
        <v>0</v>
      </c>
      <c r="C58" s="16" t="inlineStr">
        <is>
          <t>110V Monofásico</t>
        </is>
      </c>
      <c r="D58" s="17">
        <f>B58*C58</f>
        <v/>
      </c>
    </row>
    <row r="59">
      <c r="A59" s="5" t="inlineStr">
        <is>
          <t>Tipo de inversor</t>
        </is>
      </c>
      <c r="B59" s="15" t="n">
        <v>0</v>
      </c>
      <c r="C59" s="16" t="inlineStr">
        <is>
          <t>Híbrido</t>
        </is>
      </c>
      <c r="D59" s="17">
        <f>B59*C59</f>
        <v/>
      </c>
    </row>
    <row r="60">
      <c r="A60" s="18" t="inlineStr">
        <is>
          <t>CONSUMO TOTAL DIARIO</t>
        </is>
      </c>
      <c r="D60" s="19">
        <f>SUM(D40:D59)</f>
        <v/>
      </c>
    </row>
    <row r="61" ht="20" customHeight="1">
      <c r="A61" s="20" t="inlineStr">
        <is>
          <t>🔋 DIMENSIONAMIENTO DE BATERÍAS (Sistema Híbrido)</t>
        </is>
      </c>
    </row>
    <row r="62">
      <c r="A62" s="4" t="inlineStr">
        <is>
          <t>PARÁMETRO</t>
        </is>
      </c>
      <c r="B62" s="4" t="inlineStr">
        <is>
          <t>VALOR</t>
        </is>
      </c>
      <c r="C62" s="4" t="inlineStr">
        <is>
          <t>UNIDAD</t>
        </is>
      </c>
      <c r="D62" s="4" t="inlineStr">
        <is>
          <t>FÓRMULA / DESCRIPCIÓN</t>
        </is>
      </c>
    </row>
    <row r="63">
      <c r="A63" s="5" t="inlineStr">
        <is>
          <t>Días de autonomía</t>
        </is>
      </c>
      <c r="B63" s="15" t="n">
        <v>1</v>
      </c>
      <c r="C63" s="7" t="inlineStr">
        <is>
          <t>días</t>
        </is>
      </c>
      <c r="D63" s="8" t="inlineStr">
        <is>
          <t>Típico: 1-3 días</t>
        </is>
      </c>
    </row>
    <row r="64">
      <c r="A64" s="5" t="inlineStr">
        <is>
          <t>Tipo de batería</t>
        </is>
      </c>
      <c r="B64" s="6" t="inlineStr">
        <is>
          <t>Litio</t>
        </is>
      </c>
      <c r="C64" s="7" t="inlineStr"/>
      <c r="D64" s="8" t="inlineStr">
        <is>
          <t>Plomo-ácido / AGM / Gel / Litio</t>
        </is>
      </c>
    </row>
    <row r="65">
      <c r="A65" s="5" t="inlineStr">
        <is>
          <t>Profundidad de descarga (DoD)</t>
        </is>
      </c>
      <c r="B65" s="13">
        <f>IF(B64="Plomo-ácido",0.5,IF(B64="AGM",0.7,IF(B64="Gel",0.6,IF(B64="Litio",0.9,0.7))))</f>
        <v/>
      </c>
      <c r="C65" s="7" t="inlineStr"/>
      <c r="D65" s="8" t="inlineStr">
        <is>
          <t>Plomo:50% | AGM:70% | Gel:60% | Litio:90%</t>
        </is>
      </c>
    </row>
    <row r="66">
      <c r="A66" s="5" t="inlineStr">
        <is>
          <t>Eficiencia baterías</t>
        </is>
      </c>
      <c r="B66" s="9" t="n">
        <v>0.9</v>
      </c>
      <c r="C66" s="7" t="inlineStr"/>
      <c r="D66" s="8" t="inlineStr">
        <is>
          <t>Típico: 0.85-0.95</t>
        </is>
      </c>
    </row>
    <row r="67">
      <c r="A67" s="5" t="inlineStr">
        <is>
          <t>Capacidad requerida</t>
        </is>
      </c>
      <c r="B67" s="17">
        <f>(D60*B63)/(B25*B65*B66)</f>
        <v/>
      </c>
      <c r="C67" s="7" t="inlineStr">
        <is>
          <t>Ah</t>
        </is>
      </c>
      <c r="D67" s="8">
        <f> (Consumo × Días) / (Vbat × DoD × Efic)</f>
        <v/>
      </c>
    </row>
    <row r="68" ht="20" customHeight="1">
      <c r="A68" s="21" t="inlineStr">
        <is>
          <t>☀️ DIMENSIONAMIENTO DEL ARREGLO FOTOVOLTAICO</t>
        </is>
      </c>
    </row>
    <row r="69">
      <c r="A69" s="4" t="inlineStr">
        <is>
          <t>PARÁMETRO</t>
        </is>
      </c>
      <c r="B69" s="4" t="inlineStr">
        <is>
          <t>VALOR</t>
        </is>
      </c>
      <c r="C69" s="4" t="inlineStr">
        <is>
          <t>UNIDAD</t>
        </is>
      </c>
      <c r="D69" s="4" t="inlineStr">
        <is>
          <t>FÓRMULA / DESCRIPCIÓN</t>
        </is>
      </c>
    </row>
    <row r="70">
      <c r="A70" s="5" t="inlineStr">
        <is>
          <t>Potencia FV requerida</t>
        </is>
      </c>
      <c r="B70" s="17">
        <f>D60/(B31*B33)</f>
        <v/>
      </c>
      <c r="C70" s="7" t="inlineStr">
        <is>
          <t>W</t>
        </is>
      </c>
      <c r="D70" s="8">
        <f> Consumo / (HSP × Factor_pérdidas)</f>
        <v/>
      </c>
    </row>
    <row r="71">
      <c r="A71" s="5" t="inlineStr">
        <is>
          <t>Paneles necesarios (teórico)</t>
        </is>
      </c>
      <c r="B71" s="13">
        <f>B70/B5</f>
        <v/>
      </c>
      <c r="C71" s="7" t="inlineStr">
        <is>
          <t>paneles</t>
        </is>
      </c>
      <c r="D71" s="8">
        <f> Potencia_req / Pmax_panel</f>
        <v/>
      </c>
    </row>
    <row r="73">
      <c r="A73" s="22" t="inlineStr">
        <is>
          <t>⚠️ DISEÑO DE STRING (Ingresar valores según modelo de inversor)</t>
        </is>
      </c>
    </row>
    <row r="74">
      <c r="A74" s="4" t="inlineStr">
        <is>
          <t>PARÁMETRO</t>
        </is>
      </c>
      <c r="B74" s="4" t="inlineStr">
        <is>
          <t>VALOR</t>
        </is>
      </c>
      <c r="C74" s="4" t="inlineStr">
        <is>
          <t>UNIDAD</t>
        </is>
      </c>
      <c r="D74" s="4" t="inlineStr">
        <is>
          <t>DESCRIPCIÓN</t>
        </is>
      </c>
    </row>
    <row r="75">
      <c r="A75" s="5" t="inlineStr">
        <is>
          <t>Paneles por string (serie)</t>
        </is>
      </c>
      <c r="B75" s="15" t="n">
        <v>2</v>
      </c>
      <c r="C75" s="7" t="inlineStr">
        <is>
          <t>paneles</t>
        </is>
      </c>
      <c r="D75" s="23" t="inlineStr">
        <is>
          <t>⚠️ EDITABLE: Según diseño del instalador</t>
        </is>
      </c>
    </row>
    <row r="76">
      <c r="A76" s="5" t="inlineStr">
        <is>
          <t>Número de strings (paralelo)</t>
        </is>
      </c>
      <c r="B76" s="24">
        <f>ROUNDUP(B71/B75,0)</f>
        <v/>
      </c>
      <c r="C76" s="7" t="inlineStr">
        <is>
          <t>strings</t>
        </is>
      </c>
      <c r="D76" s="8">
        <f> ROUNDUP(Paneles_teorico / Paneles_serie)</f>
        <v/>
      </c>
    </row>
    <row r="77">
      <c r="A77" s="5" t="inlineStr">
        <is>
          <t>Paneles totales a instalar</t>
        </is>
      </c>
      <c r="B77" s="25">
        <f>B75*B76</f>
        <v/>
      </c>
      <c r="C77" s="7" t="inlineStr">
        <is>
          <t>paneles</t>
        </is>
      </c>
      <c r="D77" s="8">
        <f> Paneles_serie × Num_strings</f>
        <v/>
      </c>
    </row>
    <row r="79">
      <c r="A79" s="22" t="inlineStr">
        <is>
          <t>⚙️ PARÁMETROS DEL STRING (Ingresar valores reales del diseño)</t>
        </is>
      </c>
    </row>
    <row r="80">
      <c r="A80" s="4" t="inlineStr">
        <is>
          <t>PARÁMETRO</t>
        </is>
      </c>
      <c r="B80" s="4" t="inlineStr">
        <is>
          <t>VALOR</t>
        </is>
      </c>
      <c r="C80" s="4" t="inlineStr">
        <is>
          <t>UNIDAD</t>
        </is>
      </c>
      <c r="D80" s="4" t="inlineStr">
        <is>
          <t>DESCRIPCIÓN</t>
        </is>
      </c>
    </row>
    <row r="81">
      <c r="A81" s="5" t="inlineStr">
        <is>
          <t>Voltaje del string (Vstring)</t>
        </is>
      </c>
      <c r="B81" s="16" t="n">
        <v>73</v>
      </c>
      <c r="C81" s="7" t="inlineStr">
        <is>
          <t>V</t>
        </is>
      </c>
      <c r="D81" s="23" t="inlineStr">
        <is>
          <t>⚠️ EDITABLE: Voltaje real del string según diseño</t>
        </is>
      </c>
    </row>
    <row r="82">
      <c r="A82" s="5" t="inlineStr">
        <is>
          <t>Corriente del string (Istring)</t>
        </is>
      </c>
      <c r="B82" s="9" t="n">
        <v>10.96</v>
      </c>
      <c r="C82" s="7" t="inlineStr">
        <is>
          <t>A</t>
        </is>
      </c>
      <c r="D82" s="23" t="inlineStr">
        <is>
          <t>⚠️ EDITABLE: Corriente real del string según diseño</t>
        </is>
      </c>
    </row>
    <row r="83">
      <c r="A83" s="5" t="inlineStr">
        <is>
          <t>Potencia del string (Pstring)</t>
        </is>
      </c>
      <c r="B83" s="16" t="n">
        <v>800</v>
      </c>
      <c r="C83" s="7" t="inlineStr">
        <is>
          <t>W</t>
        </is>
      </c>
      <c r="D83" s="23" t="inlineStr">
        <is>
          <t>⚠️ EDITABLE: Potencia real del string según diseño</t>
        </is>
      </c>
    </row>
    <row r="84">
      <c r="A84" s="5" t="inlineStr">
        <is>
          <t>Potencia total del arreglo</t>
        </is>
      </c>
      <c r="B84" s="19">
        <f>B83*B76</f>
        <v/>
      </c>
      <c r="C84" s="7" t="inlineStr">
        <is>
          <t>W</t>
        </is>
      </c>
      <c r="D84" s="8">
        <f> Pstring × Num_strings</f>
        <v/>
      </c>
    </row>
    <row r="85" ht="20" customHeight="1">
      <c r="A85" s="26" t="inlineStr">
        <is>
          <t>⚠️ VALIDACIONES DE SEGURIDAD (NEC 690)</t>
        </is>
      </c>
    </row>
    <row r="86">
      <c r="A86" s="4" t="inlineStr">
        <is>
          <t>VALIDACIÓN</t>
        </is>
      </c>
      <c r="B86" s="4" t="inlineStr">
        <is>
          <t>RESULTADO</t>
        </is>
      </c>
      <c r="C86" s="4" t="inlineStr">
        <is>
          <t>ESTADO</t>
        </is>
      </c>
      <c r="D86" s="4" t="inlineStr">
        <is>
          <t>DESCRIPCIÓN</t>
        </is>
      </c>
    </row>
    <row r="87">
      <c r="A87" s="5" t="inlineStr">
        <is>
          <t>Voc string × 1.25 &lt; Vmax inversor</t>
        </is>
      </c>
      <c r="B87" s="7">
        <f>(B36*B75*1.25)&amp;" &lt; "&amp;B19</f>
        <v/>
      </c>
      <c r="C87" s="27">
        <f>IF((B36*B75*1.25)&lt;B19,"✅ OK","❌ FALLA")</f>
        <v/>
      </c>
      <c r="D87" s="8" t="inlineStr">
        <is>
          <t>NEC 690.7 - Factor de seguridad 125%</t>
        </is>
      </c>
    </row>
    <row r="88">
      <c r="A88" s="5" t="inlineStr">
        <is>
          <t>Isc string × 1.25 &lt; Imax inversor</t>
        </is>
      </c>
      <c r="B88" s="7">
        <f>(B37*B76*1.25)&amp;" &lt; "&amp;B20</f>
        <v/>
      </c>
      <c r="C88" s="27">
        <f>IF((B37*B76*1.25)&lt;B20,"✅ OK","❌ FALLA")</f>
        <v/>
      </c>
      <c r="D88" s="8" t="inlineStr">
        <is>
          <t>NEC 690.8 - Factor de seguridad 125%</t>
        </is>
      </c>
    </row>
    <row r="89">
      <c r="A89" s="5" t="inlineStr">
        <is>
          <t>Potencia arreglo ≤ Pinv × 1.2</t>
        </is>
      </c>
      <c r="B89" s="7">
        <f>B84&amp;" ≤ "&amp;(B22*1.2)</f>
        <v/>
      </c>
      <c r="C89" s="27">
        <f>IF(B84&lt;=(B22*1.2),"✅ OK","⚠️ SOBRECARGA")</f>
        <v/>
      </c>
      <c r="D89" s="8" t="inlineStr">
        <is>
          <t>Sobredimensión permitida 120%</t>
        </is>
      </c>
    </row>
    <row r="90">
      <c r="A90" s="5" t="inlineStr">
        <is>
          <t>Voltaje batería = Voltaje inversor</t>
        </is>
      </c>
      <c r="B90" s="7">
        <f>B25&amp;" V"</f>
        <v/>
      </c>
      <c r="C90" s="27">
        <f>IF(B25=B25,"✅ OK","❌ VERIF")</f>
        <v/>
      </c>
      <c r="D90" s="8" t="inlineStr">
        <is>
          <t>Verificar compatibilidad</t>
        </is>
      </c>
    </row>
  </sheetData>
  <conditionalFormatting sqref="C87">
    <cfRule type="cellIs" priority="1" operator="containsText" dxfId="0">
      <formula>"❌"</formula>
    </cfRule>
  </conditionalFormatting>
  <dataValidations count="1">
    <dataValidation sqref="B64" showDropDown="0" showInputMessage="0" showErrorMessage="0" allowBlank="0" type="list">
      <formula1>"Plomo-ácido,AGM,Gel,Litio"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35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LISTA DE MATERIALES - SISTEMA FOTOVOLTAICO</t>
        </is>
      </c>
    </row>
    <row r="2">
      <c r="A2" s="28" t="inlineStr">
        <is>
          <t>Listado completo de componentes, cantidades y especificaciones técnicas</t>
        </is>
      </c>
    </row>
    <row r="3"/>
    <row r="4">
      <c r="A4" s="29" t="inlineStr">
        <is>
          <t>ÍTEM</t>
        </is>
      </c>
      <c r="B4" s="29" t="inlineStr">
        <is>
          <t>CATEGORÍA</t>
        </is>
      </c>
      <c r="C4" s="29" t="inlineStr">
        <is>
          <t>COMPONENTE</t>
        </is>
      </c>
      <c r="D4" s="29" t="inlineStr">
        <is>
          <t>CANTIDAD</t>
        </is>
      </c>
      <c r="E4" s="29" t="inlineStr">
        <is>
          <t>ESPECIFICACIÓN</t>
        </is>
      </c>
      <c r="F4" s="29" t="inlineStr">
        <is>
          <t>UNIDAD</t>
        </is>
      </c>
      <c r="G4" s="29" t="inlineStr">
        <is>
          <t>PRECIO UNIT.</t>
        </is>
      </c>
      <c r="H4" s="29" t="inlineStr">
        <is>
          <t>SUBTOTAL</t>
        </is>
      </c>
    </row>
    <row r="5">
      <c r="A5" s="30" t="n">
        <v>1</v>
      </c>
      <c r="B5" s="31" t="inlineStr">
        <is>
          <t>PANELES SOLARES</t>
        </is>
      </c>
      <c r="C5" s="32" t="inlineStr">
        <is>
          <t>Paneles Fotovoltaicos</t>
        </is>
      </c>
      <c r="D5" s="33">
        <f>Calculadora!D64</f>
        <v/>
      </c>
      <c r="E5" s="34">
        <f>Calculadora!D34&amp;"W - Vmp: "&amp;Calculadora!D35&amp;"V - Imp: "&amp;Calculadora!D36&amp;"A"</f>
        <v/>
      </c>
      <c r="F5" s="35" t="inlineStr">
        <is>
          <t>unidades</t>
        </is>
      </c>
      <c r="G5" s="36" t="n">
        <v>175</v>
      </c>
      <c r="H5" s="37">
        <f>D5*G5</f>
        <v/>
      </c>
    </row>
    <row r="6">
      <c r="A6" s="30" t="n">
        <v>2</v>
      </c>
      <c r="B6" s="31" t="inlineStr">
        <is>
          <t>PANELES SOLARES</t>
        </is>
      </c>
      <c r="C6" s="32" t="inlineStr">
        <is>
          <t>Estructura de montaje</t>
        </is>
      </c>
      <c r="D6" s="33">
        <f>Calculadora!D64</f>
        <v/>
      </c>
      <c r="E6" s="34" t="inlineStr">
        <is>
          <t>Aluminio con tornillería inoxidable</t>
        </is>
      </c>
      <c r="F6" s="35" t="inlineStr">
        <is>
          <t>kit</t>
        </is>
      </c>
      <c r="G6" s="36" t="n">
        <v>15</v>
      </c>
      <c r="H6" s="37">
        <f>D6*G6</f>
        <v/>
      </c>
    </row>
    <row r="7">
      <c r="A7" s="30" t="n">
        <v>3</v>
      </c>
      <c r="B7" s="31" t="inlineStr">
        <is>
          <t>PANELES SOLARES</t>
        </is>
      </c>
      <c r="C7" s="32" t="inlineStr">
        <is>
          <t>Rieles de montaje</t>
        </is>
      </c>
      <c r="D7" s="33">
        <f>ROUNDUP(Calculadora!D64/4,0)*2</f>
        <v/>
      </c>
      <c r="E7" s="34" t="inlineStr">
        <is>
          <t>Riel aluminio 4.2m</t>
        </is>
      </c>
      <c r="F7" s="35" t="inlineStr">
        <is>
          <t>unidades</t>
        </is>
      </c>
      <c r="G7" s="36" t="n">
        <v>25</v>
      </c>
      <c r="H7" s="37">
        <f>D7*G7</f>
        <v/>
      </c>
    </row>
    <row r="8">
      <c r="A8" s="30" t="n">
        <v>4</v>
      </c>
      <c r="B8" s="31" t="inlineStr">
        <is>
          <t>PANELES SOLARES</t>
        </is>
      </c>
      <c r="C8" s="32" t="inlineStr">
        <is>
          <t>Kit de tornillería</t>
        </is>
      </c>
      <c r="D8" s="38" t="n">
        <v>1</v>
      </c>
      <c r="E8" s="34" t="inlineStr">
        <is>
          <t>Tornillos, tuercas, arandelas inox</t>
        </is>
      </c>
      <c r="F8" s="35" t="inlineStr">
        <is>
          <t>kit</t>
        </is>
      </c>
      <c r="G8" s="36" t="n">
        <v>50</v>
      </c>
      <c r="H8" s="37">
        <f>D8*G8</f>
        <v/>
      </c>
    </row>
    <row r="9">
      <c r="A9" s="30" t="n">
        <v>5</v>
      </c>
      <c r="B9" s="31" t="inlineStr">
        <is>
          <t>INVERSOR</t>
        </is>
      </c>
      <c r="C9" s="32" t="inlineStr">
        <is>
          <t>Inversor híbrido</t>
        </is>
      </c>
      <c r="D9" s="38" t="n">
        <v>1</v>
      </c>
      <c r="E9" s="34">
        <f>ROUND(Calculadora!D66/1000,1)&amp;"kW @ "&amp;Calculadora!D27&amp;"V - "&amp;Calculadora!D29</f>
        <v/>
      </c>
      <c r="F9" s="35" t="inlineStr">
        <is>
          <t>unidad</t>
        </is>
      </c>
      <c r="G9" s="36" t="n">
        <v>1500</v>
      </c>
      <c r="H9" s="37">
        <f>D9*G9</f>
        <v/>
      </c>
    </row>
    <row r="10">
      <c r="A10" s="30" t="n">
        <v>6</v>
      </c>
      <c r="B10" s="31" t="inlineStr">
        <is>
          <t>INVERSOR</t>
        </is>
      </c>
      <c r="C10" s="32" t="inlineStr">
        <is>
          <t>Controlador de carga MPPT</t>
        </is>
      </c>
      <c r="D10" s="38" t="n">
        <v>1</v>
      </c>
      <c r="E10" s="34">
        <f>ROUND(Calculadora!D67,0)&amp;"A para "&amp;Calculadora!D27&amp;"V"</f>
        <v/>
      </c>
      <c r="F10" s="35" t="inlineStr">
        <is>
          <t>unidad</t>
        </is>
      </c>
      <c r="G10" s="36" t="n">
        <v>400</v>
      </c>
      <c r="H10" s="37">
        <f>D10*G10</f>
        <v/>
      </c>
    </row>
    <row r="11">
      <c r="A11" s="30" t="n">
        <v>7</v>
      </c>
      <c r="B11" s="31" t="inlineStr">
        <is>
          <t>BATERÍAS</t>
        </is>
      </c>
      <c r="C11" s="32" t="inlineStr">
        <is>
          <t>Banco de baterías</t>
        </is>
      </c>
      <c r="D11" s="33">
        <f>ROUNDUP(Calculadora!D61/200,0)</f>
        <v/>
      </c>
      <c r="E11" s="34">
        <f>Calculadora!D48&amp;" - 200Ah - "&amp;Calculadora!D27&amp;"V"</f>
        <v/>
      </c>
      <c r="F11" s="35" t="inlineStr">
        <is>
          <t>unidades</t>
        </is>
      </c>
      <c r="G11" s="36" t="n">
        <v>550</v>
      </c>
      <c r="H11" s="37">
        <f>D11*G11</f>
        <v/>
      </c>
    </row>
    <row r="12">
      <c r="A12" s="30" t="n">
        <v>8</v>
      </c>
      <c r="B12" s="31" t="inlineStr">
        <is>
          <t>BATERÍAS</t>
        </is>
      </c>
      <c r="C12" s="32" t="inlineStr">
        <is>
          <t>Cables de interconexión baterías</t>
        </is>
      </c>
      <c r="D12" s="33">
        <f>ROUNDUP(Calculadora!D61/200,0)+1</f>
        <v/>
      </c>
      <c r="E12" s="34" t="inlineStr">
        <is>
          <t>Cable 2/0 AWG, 1m c/u</t>
        </is>
      </c>
      <c r="F12" s="35" t="inlineStr">
        <is>
          <t>unidades</t>
        </is>
      </c>
      <c r="G12" s="36" t="n">
        <v>15</v>
      </c>
      <c r="H12" s="37">
        <f>D12*G12</f>
        <v/>
      </c>
    </row>
    <row r="13">
      <c r="A13" s="30" t="n">
        <v>9</v>
      </c>
      <c r="B13" s="31" t="inlineStr">
        <is>
          <t>BATERÍAS</t>
        </is>
      </c>
      <c r="C13" s="32" t="inlineStr">
        <is>
          <t>Terminales y conectores</t>
        </is>
      </c>
      <c r="D13" s="38" t="n">
        <v>1</v>
      </c>
      <c r="E13" s="34" t="inlineStr">
        <is>
          <t>Kit completo para baterías</t>
        </is>
      </c>
      <c r="F13" s="35" t="inlineStr">
        <is>
          <t>kit</t>
        </is>
      </c>
      <c r="G13" s="36" t="n">
        <v>40</v>
      </c>
      <c r="H13" s="37">
        <f>D13*G13</f>
        <v/>
      </c>
    </row>
    <row r="14">
      <c r="A14" s="30" t="n">
        <v>10</v>
      </c>
      <c r="B14" s="31" t="inlineStr">
        <is>
          <t>CABLEADO DC</t>
        </is>
      </c>
      <c r="C14" s="32" t="inlineStr">
        <is>
          <t>Cable solar DC 10AWG</t>
        </is>
      </c>
      <c r="D14" s="38" t="n">
        <v>1</v>
      </c>
      <c r="E14" s="34" t="inlineStr">
        <is>
          <t>50 metros</t>
        </is>
      </c>
      <c r="F14" s="35" t="inlineStr">
        <is>
          <t>rollo</t>
        </is>
      </c>
      <c r="G14" s="36" t="n">
        <v>250</v>
      </c>
      <c r="H14" s="37">
        <f>D14*G14</f>
        <v/>
      </c>
    </row>
    <row r="15">
      <c r="A15" s="30" t="n">
        <v>11</v>
      </c>
      <c r="B15" s="31" t="inlineStr">
        <is>
          <t>CABLEADO DC</t>
        </is>
      </c>
      <c r="C15" s="32" t="inlineStr">
        <is>
          <t>Conectores MC4</t>
        </is>
      </c>
      <c r="D15" s="33">
        <f>Calculadora!D64*2</f>
        <v/>
      </c>
      <c r="E15" s="34" t="inlineStr">
        <is>
          <t>Macho y hembra</t>
        </is>
      </c>
      <c r="F15" s="35" t="inlineStr">
        <is>
          <t>pares</t>
        </is>
      </c>
      <c r="G15" s="36" t="n">
        <v>3</v>
      </c>
      <c r="H15" s="37">
        <f>D15*G15</f>
        <v/>
      </c>
    </row>
    <row r="16">
      <c r="A16" s="30" t="n">
        <v>12</v>
      </c>
      <c r="B16" s="31" t="inlineStr">
        <is>
          <t>CABLEADO DC</t>
        </is>
      </c>
      <c r="C16" s="32" t="inlineStr">
        <is>
          <t>Cable 8AWG baterías-inversor</t>
        </is>
      </c>
      <c r="D16" s="38" t="n">
        <v>1</v>
      </c>
      <c r="E16" s="34" t="inlineStr">
        <is>
          <t>10 metros</t>
        </is>
      </c>
      <c r="F16" s="35" t="inlineStr">
        <is>
          <t>rollo</t>
        </is>
      </c>
      <c r="G16" s="36" t="n">
        <v>80</v>
      </c>
      <c r="H16" s="37">
        <f>D16*G16</f>
        <v/>
      </c>
    </row>
    <row r="17">
      <c r="A17" s="30" t="n">
        <v>13</v>
      </c>
      <c r="B17" s="31" t="inlineStr">
        <is>
          <t>CABLEADO DC</t>
        </is>
      </c>
      <c r="C17" s="32" t="inlineStr">
        <is>
          <t>Fusibles DC</t>
        </is>
      </c>
      <c r="D17" s="33">
        <f>Calculadora!D65</f>
        <v/>
      </c>
      <c r="E17" s="34">
        <f>ROUND(Calculadora!D42*1.25,0)&amp;"A por string"</f>
        <v/>
      </c>
      <c r="F17" s="35" t="inlineStr">
        <is>
          <t>unidades</t>
        </is>
      </c>
      <c r="G17" s="36" t="n">
        <v>8</v>
      </c>
      <c r="H17" s="37">
        <f>D17*G17</f>
        <v/>
      </c>
    </row>
    <row r="18">
      <c r="A18" s="30" t="n">
        <v>14</v>
      </c>
      <c r="B18" s="31" t="inlineStr">
        <is>
          <t>CABLEADO AC</t>
        </is>
      </c>
      <c r="C18" s="32" t="inlineStr">
        <is>
          <t>Cable THW 10AWG</t>
        </is>
      </c>
      <c r="D18" s="38" t="n">
        <v>1</v>
      </c>
      <c r="E18" s="34" t="inlineStr">
        <is>
          <t>30 metros entrada/salida</t>
        </is>
      </c>
      <c r="F18" s="35" t="inlineStr">
        <is>
          <t>rollo</t>
        </is>
      </c>
      <c r="G18" s="36" t="n">
        <v>150</v>
      </c>
      <c r="H18" s="37">
        <f>D18*G18</f>
        <v/>
      </c>
    </row>
    <row r="19">
      <c r="A19" s="30" t="n">
        <v>15</v>
      </c>
      <c r="B19" s="31" t="inlineStr">
        <is>
          <t>CABLEADO AC</t>
        </is>
      </c>
      <c r="C19" s="32" t="inlineStr">
        <is>
          <t>Cable tierra 8AWG</t>
        </is>
      </c>
      <c r="D19" s="38" t="n">
        <v>1</v>
      </c>
      <c r="E19" s="34" t="inlineStr">
        <is>
          <t>40 metros</t>
        </is>
      </c>
      <c r="F19" s="35" t="inlineStr">
        <is>
          <t>rollo</t>
        </is>
      </c>
      <c r="G19" s="36" t="n">
        <v>80</v>
      </c>
      <c r="H19" s="37">
        <f>D19*G19</f>
        <v/>
      </c>
    </row>
    <row r="20">
      <c r="A20" s="30" t="n">
        <v>16</v>
      </c>
      <c r="B20" s="31" t="inlineStr">
        <is>
          <t>CABLEADO AC</t>
        </is>
      </c>
      <c r="C20" s="32" t="inlineStr">
        <is>
          <t>Ductos y canaletas</t>
        </is>
      </c>
      <c r="D20" s="38" t="n">
        <v>1</v>
      </c>
      <c r="E20" s="34" t="inlineStr">
        <is>
          <t>20 metros</t>
        </is>
      </c>
      <c r="F20" s="35" t="inlineStr">
        <is>
          <t>lote</t>
        </is>
      </c>
      <c r="G20" s="36" t="n">
        <v>100</v>
      </c>
      <c r="H20" s="37">
        <f>D20*G20</f>
        <v/>
      </c>
    </row>
    <row r="21">
      <c r="A21" s="30" t="n">
        <v>17</v>
      </c>
      <c r="B21" s="31" t="inlineStr">
        <is>
          <t>PROTECCIONES</t>
        </is>
      </c>
      <c r="C21" s="32" t="inlineStr">
        <is>
          <t>Breakers DC</t>
        </is>
      </c>
      <c r="D21" s="33">
        <f>Calculadora!D65</f>
        <v/>
      </c>
      <c r="E21" s="34" t="inlineStr">
        <is>
          <t>Para protección strings</t>
        </is>
      </c>
      <c r="F21" s="35" t="inlineStr">
        <is>
          <t>unidades</t>
        </is>
      </c>
      <c r="G21" s="36" t="n">
        <v>25</v>
      </c>
      <c r="H21" s="37">
        <f>D21*G21</f>
        <v/>
      </c>
    </row>
    <row r="22">
      <c r="A22" s="30" t="n">
        <v>18</v>
      </c>
      <c r="B22" s="31" t="inlineStr">
        <is>
          <t>PROTECCIONES</t>
        </is>
      </c>
      <c r="C22" s="32" t="inlineStr">
        <is>
          <t>Breaker principal DC</t>
        </is>
      </c>
      <c r="D22" s="38" t="n">
        <v>1</v>
      </c>
      <c r="E22" s="34">
        <f>ROUND(Calculadora!D67,0)&amp;"A bipolar"</f>
        <v/>
      </c>
      <c r="F22" s="35" t="inlineStr">
        <is>
          <t>unidad</t>
        </is>
      </c>
      <c r="G22" s="36" t="n">
        <v>45</v>
      </c>
      <c r="H22" s="37">
        <f>D22*G22</f>
        <v/>
      </c>
    </row>
    <row r="23">
      <c r="A23" s="30" t="n">
        <v>19</v>
      </c>
      <c r="B23" s="31" t="inlineStr">
        <is>
          <t>PROTECCIONES</t>
        </is>
      </c>
      <c r="C23" s="32" t="inlineStr">
        <is>
          <t>Breaker AC entrada</t>
        </is>
      </c>
      <c r="D23" s="38" t="n">
        <v>1</v>
      </c>
      <c r="E23" s="34" t="inlineStr">
        <is>
          <t>Según red eléctrica</t>
        </is>
      </c>
      <c r="F23" s="35" t="inlineStr">
        <is>
          <t>unidad</t>
        </is>
      </c>
      <c r="G23" s="36" t="n">
        <v>30</v>
      </c>
      <c r="H23" s="37">
        <f>D23*G23</f>
        <v/>
      </c>
    </row>
    <row r="24">
      <c r="A24" s="30" t="n">
        <v>20</v>
      </c>
      <c r="B24" s="31" t="inlineStr">
        <is>
          <t>PROTECCIONES</t>
        </is>
      </c>
      <c r="C24" s="32" t="inlineStr">
        <is>
          <t>Breaker AC salida</t>
        </is>
      </c>
      <c r="D24" s="38" t="n">
        <v>1</v>
      </c>
      <c r="E24" s="34" t="inlineStr">
        <is>
          <t>Protección cargas</t>
        </is>
      </c>
      <c r="F24" s="35" t="inlineStr">
        <is>
          <t>unidad</t>
        </is>
      </c>
      <c r="G24" s="36" t="n">
        <v>30</v>
      </c>
      <c r="H24" s="37">
        <f>D24*G24</f>
        <v/>
      </c>
    </row>
    <row r="25">
      <c r="A25" s="30" t="n">
        <v>21</v>
      </c>
      <c r="B25" s="31" t="inlineStr">
        <is>
          <t>PROTECCIONES</t>
        </is>
      </c>
      <c r="C25" s="32" t="inlineStr">
        <is>
          <t>Supresor de picos (SPD)</t>
        </is>
      </c>
      <c r="D25" s="38" t="n">
        <v>2</v>
      </c>
      <c r="E25" s="34" t="inlineStr">
        <is>
          <t>DC y AC</t>
        </is>
      </c>
      <c r="F25" s="35" t="inlineStr">
        <is>
          <t>unidades</t>
        </is>
      </c>
      <c r="G25" s="36" t="n">
        <v>80</v>
      </c>
      <c r="H25" s="37">
        <f>D25*G25</f>
        <v/>
      </c>
    </row>
    <row r="26">
      <c r="A26" s="30" t="n">
        <v>22</v>
      </c>
      <c r="B26" s="31" t="inlineStr">
        <is>
          <t>TABLEROS</t>
        </is>
      </c>
      <c r="C26" s="32" t="inlineStr">
        <is>
          <t>Tablero de distribución DC</t>
        </is>
      </c>
      <c r="D26" s="38" t="n">
        <v>1</v>
      </c>
      <c r="E26" s="34" t="inlineStr">
        <is>
          <t>Con espacio para breakers</t>
        </is>
      </c>
      <c r="F26" s="35" t="inlineStr">
        <is>
          <t>unidad</t>
        </is>
      </c>
      <c r="G26" s="36" t="n">
        <v>120</v>
      </c>
      <c r="H26" s="37">
        <f>D26*G26</f>
        <v/>
      </c>
    </row>
    <row r="27">
      <c r="A27" s="30" t="n">
        <v>23</v>
      </c>
      <c r="B27" s="31" t="inlineStr">
        <is>
          <t>TABLEROS</t>
        </is>
      </c>
      <c r="C27" s="32" t="inlineStr">
        <is>
          <t>Tablero de distribución AC</t>
        </is>
      </c>
      <c r="D27" s="38" t="n">
        <v>1</v>
      </c>
      <c r="E27" s="34" t="inlineStr">
        <is>
          <t>Con espacio para breakers</t>
        </is>
      </c>
      <c r="F27" s="35" t="inlineStr">
        <is>
          <t>unidad</t>
        </is>
      </c>
      <c r="G27" s="36" t="n">
        <v>100</v>
      </c>
      <c r="H27" s="37">
        <f>D27*G27</f>
        <v/>
      </c>
    </row>
    <row r="28">
      <c r="A28" s="30" t="n">
        <v>24</v>
      </c>
      <c r="B28" s="31" t="inlineStr">
        <is>
          <t>TABLEROS</t>
        </is>
      </c>
      <c r="C28" s="32" t="inlineStr">
        <is>
          <t>Gabinete para inversor</t>
        </is>
      </c>
      <c r="D28" s="38" t="n">
        <v>1</v>
      </c>
      <c r="E28" s="34" t="inlineStr">
        <is>
          <t>Metálico con ventilación</t>
        </is>
      </c>
      <c r="F28" s="35" t="inlineStr">
        <is>
          <t>unidad</t>
        </is>
      </c>
      <c r="G28" s="36" t="n">
        <v>150</v>
      </c>
      <c r="H28" s="37">
        <f>D28*G28</f>
        <v/>
      </c>
    </row>
    <row r="29">
      <c r="A29" s="30" t="n">
        <v>25</v>
      </c>
      <c r="B29" s="31" t="inlineStr">
        <is>
          <t>PUESTA A TIERRA</t>
        </is>
      </c>
      <c r="C29" s="32" t="inlineStr">
        <is>
          <t>Varilla cooperweld</t>
        </is>
      </c>
      <c r="D29" s="38" t="n">
        <v>2</v>
      </c>
      <c r="E29" s="34" t="inlineStr">
        <is>
          <t>1.8m x 5/8"</t>
        </is>
      </c>
      <c r="F29" s="35" t="inlineStr">
        <is>
          <t>unidades</t>
        </is>
      </c>
      <c r="G29" s="36" t="n">
        <v>25</v>
      </c>
      <c r="H29" s="37">
        <f>D29*G29</f>
        <v/>
      </c>
    </row>
    <row r="30">
      <c r="A30" s="30" t="n">
        <v>26</v>
      </c>
      <c r="B30" s="31" t="inlineStr">
        <is>
          <t>PUESTA A TIERRA</t>
        </is>
      </c>
      <c r="C30" s="32" t="inlineStr">
        <is>
          <t>Conector varilla-cable</t>
        </is>
      </c>
      <c r="D30" s="38" t="n">
        <v>2</v>
      </c>
      <c r="E30" s="34" t="inlineStr">
        <is>
          <t>Bronce</t>
        </is>
      </c>
      <c r="F30" s="35" t="inlineStr">
        <is>
          <t>unidades</t>
        </is>
      </c>
      <c r="G30" s="36" t="n">
        <v>8</v>
      </c>
      <c r="H30" s="37">
        <f>D30*G30</f>
        <v/>
      </c>
    </row>
    <row r="31">
      <c r="A31" s="30" t="n">
        <v>27</v>
      </c>
      <c r="B31" s="31" t="inlineStr">
        <is>
          <t>PUESTA A TIERRA</t>
        </is>
      </c>
      <c r="C31" s="32" t="inlineStr">
        <is>
          <t>Cemento conductivo</t>
        </is>
      </c>
      <c r="D31" s="38" t="n">
        <v>2</v>
      </c>
      <c r="E31" s="34" t="inlineStr">
        <is>
          <t>Bolsa 25kg</t>
        </is>
      </c>
      <c r="F31" s="35" t="inlineStr">
        <is>
          <t>bolsas</t>
        </is>
      </c>
      <c r="G31" s="36" t="n">
        <v>20</v>
      </c>
      <c r="H31" s="37">
        <f>D31*G31</f>
        <v/>
      </c>
    </row>
    <row r="32">
      <c r="A32" s="30" t="n">
        <v>28</v>
      </c>
      <c r="B32" s="31" t="inlineStr">
        <is>
          <t>MATERIALES VARIOS</t>
        </is>
      </c>
      <c r="C32" s="32" t="inlineStr">
        <is>
          <t>Etiquetas identificación</t>
        </is>
      </c>
      <c r="D32" s="38" t="n">
        <v>1</v>
      </c>
      <c r="E32" s="34" t="inlineStr">
        <is>
          <t>Para cables y equipos</t>
        </is>
      </c>
      <c r="F32" s="35" t="inlineStr">
        <is>
          <t>kit</t>
        </is>
      </c>
      <c r="G32" s="36" t="n">
        <v>15</v>
      </c>
      <c r="H32" s="37">
        <f>D32*G32</f>
        <v/>
      </c>
    </row>
    <row r="33">
      <c r="A33" s="30" t="n">
        <v>29</v>
      </c>
      <c r="B33" s="31" t="inlineStr">
        <is>
          <t>MATERIALES VARIOS</t>
        </is>
      </c>
      <c r="C33" s="32" t="inlineStr">
        <is>
          <t>Silicón sellante</t>
        </is>
      </c>
      <c r="D33" s="38" t="n">
        <v>2</v>
      </c>
      <c r="E33" s="34" t="inlineStr">
        <is>
          <t>Para impermeabilización</t>
        </is>
      </c>
      <c r="F33" s="35" t="inlineStr">
        <is>
          <t>tubos</t>
        </is>
      </c>
      <c r="G33" s="36" t="n">
        <v>12</v>
      </c>
      <c r="H33" s="37">
        <f>D33*G33</f>
        <v/>
      </c>
    </row>
    <row r="34">
      <c r="A34" s="30" t="n">
        <v>30</v>
      </c>
      <c r="B34" s="31" t="inlineStr">
        <is>
          <t>MATERIALES VARIOS</t>
        </is>
      </c>
      <c r="C34" s="32" t="inlineStr">
        <is>
          <t>Cinta aislante</t>
        </is>
      </c>
      <c r="D34" s="38" t="n">
        <v>4</v>
      </c>
      <c r="E34" s="34" t="inlineStr">
        <is>
          <t>Alta temperatura</t>
        </is>
      </c>
      <c r="F34" s="35" t="inlineStr">
        <is>
          <t>rollos</t>
        </is>
      </c>
      <c r="G34" s="36" t="n">
        <v>5</v>
      </c>
      <c r="H34" s="37">
        <f>D34*G34</f>
        <v/>
      </c>
    </row>
    <row r="35">
      <c r="A35" s="30" t="n">
        <v>31</v>
      </c>
      <c r="B35" s="31" t="inlineStr">
        <is>
          <t>MATERIALES VARIOS</t>
        </is>
      </c>
      <c r="C35" s="32" t="inlineStr">
        <is>
          <t>Amarras plásticas UV</t>
        </is>
      </c>
      <c r="D35" s="38" t="n">
        <v>1</v>
      </c>
      <c r="E35" s="34" t="inlineStr">
        <is>
          <t>Pack 100 unidades</t>
        </is>
      </c>
      <c r="F35" s="35" t="inlineStr">
        <is>
          <t>pack</t>
        </is>
      </c>
      <c r="G35" s="36" t="n">
        <v>8</v>
      </c>
      <c r="H35" s="37">
        <f>D35*G35</f>
        <v/>
      </c>
    </row>
    <row r="36">
      <c r="A36" s="30" t="n">
        <v>32</v>
      </c>
      <c r="B36" s="31" t="inlineStr">
        <is>
          <t>MATERIALES VARIOS</t>
        </is>
      </c>
      <c r="C36" s="32" t="inlineStr">
        <is>
          <t>Abrazaderas metálicas</t>
        </is>
      </c>
      <c r="D36" s="38" t="n">
        <v>1</v>
      </c>
      <c r="E36" s="34" t="inlineStr">
        <is>
          <t>Varias medidas</t>
        </is>
      </c>
      <c r="F36" s="35" t="inlineStr">
        <is>
          <t>kit</t>
        </is>
      </c>
      <c r="G36" s="36" t="n">
        <v>25</v>
      </c>
      <c r="H36" s="37">
        <f>D36*G36</f>
        <v/>
      </c>
    </row>
    <row r="37"/>
    <row r="38">
      <c r="A38" s="39" t="inlineStr">
        <is>
          <t>SUBTOTAL PANELES SOLARES</t>
        </is>
      </c>
      <c r="B38" s="40" t="n"/>
      <c r="C38" s="40" t="n"/>
      <c r="D38" s="40" t="n"/>
      <c r="E38" s="40" t="n"/>
      <c r="F38" s="40" t="n"/>
      <c r="G38" s="41" t="n"/>
      <c r="H38" s="42">
        <f>SUM(H5:H8)</f>
        <v/>
      </c>
    </row>
    <row r="39">
      <c r="A39" s="39" t="inlineStr">
        <is>
          <t>SUBTOTAL INVERSOR</t>
        </is>
      </c>
      <c r="B39" s="40" t="n"/>
      <c r="C39" s="40" t="n"/>
      <c r="D39" s="40" t="n"/>
      <c r="E39" s="40" t="n"/>
      <c r="F39" s="40" t="n"/>
      <c r="G39" s="41" t="n"/>
      <c r="H39" s="42">
        <f>SUM(H9:H10)</f>
        <v/>
      </c>
    </row>
    <row r="40">
      <c r="A40" s="39" t="inlineStr">
        <is>
          <t>SUBTOTAL BATERÍAS</t>
        </is>
      </c>
      <c r="B40" s="40" t="n"/>
      <c r="C40" s="40" t="n"/>
      <c r="D40" s="40" t="n"/>
      <c r="E40" s="40" t="n"/>
      <c r="F40" s="40" t="n"/>
      <c r="G40" s="41" t="n"/>
      <c r="H40" s="42">
        <f>SUM(H11:H13)</f>
        <v/>
      </c>
    </row>
    <row r="41">
      <c r="A41" s="39" t="inlineStr">
        <is>
          <t>SUBTOTAL CABLEADO DC</t>
        </is>
      </c>
      <c r="B41" s="40" t="n"/>
      <c r="C41" s="40" t="n"/>
      <c r="D41" s="40" t="n"/>
      <c r="E41" s="40" t="n"/>
      <c r="F41" s="40" t="n"/>
      <c r="G41" s="41" t="n"/>
      <c r="H41" s="42">
        <f>SUM(H14:H17)</f>
        <v/>
      </c>
    </row>
    <row r="42">
      <c r="A42" s="39" t="inlineStr">
        <is>
          <t>SUBTOTAL CABLEADO AC</t>
        </is>
      </c>
      <c r="B42" s="40" t="n"/>
      <c r="C42" s="40" t="n"/>
      <c r="D42" s="40" t="n"/>
      <c r="E42" s="40" t="n"/>
      <c r="F42" s="40" t="n"/>
      <c r="G42" s="41" t="n"/>
      <c r="H42" s="42">
        <f>SUM(H18:H20)</f>
        <v/>
      </c>
    </row>
    <row r="43">
      <c r="A43" s="39" t="inlineStr">
        <is>
          <t>SUBTOTAL PROTECCIONES</t>
        </is>
      </c>
      <c r="B43" s="40" t="n"/>
      <c r="C43" s="40" t="n"/>
      <c r="D43" s="40" t="n"/>
      <c r="E43" s="40" t="n"/>
      <c r="F43" s="40" t="n"/>
      <c r="G43" s="41" t="n"/>
      <c r="H43" s="42">
        <f>SUM(H21:H25)</f>
        <v/>
      </c>
    </row>
    <row r="44">
      <c r="A44" s="39" t="inlineStr">
        <is>
          <t>SUBTOTAL TABLEROS</t>
        </is>
      </c>
      <c r="B44" s="40" t="n"/>
      <c r="C44" s="40" t="n"/>
      <c r="D44" s="40" t="n"/>
      <c r="E44" s="40" t="n"/>
      <c r="F44" s="40" t="n"/>
      <c r="G44" s="41" t="n"/>
      <c r="H44" s="42">
        <f>SUM(H26:H28)</f>
        <v/>
      </c>
    </row>
    <row r="45">
      <c r="A45" s="39" t="inlineStr">
        <is>
          <t>SUBTOTAL PUESTA A TIERRA</t>
        </is>
      </c>
      <c r="B45" s="40" t="n"/>
      <c r="C45" s="40" t="n"/>
      <c r="D45" s="40" t="n"/>
      <c r="E45" s="40" t="n"/>
      <c r="F45" s="40" t="n"/>
      <c r="G45" s="41" t="n"/>
      <c r="H45" s="42">
        <f>SUM(H29:H31)</f>
        <v/>
      </c>
    </row>
    <row r="46">
      <c r="A46" s="39" t="inlineStr">
        <is>
          <t>SUBTOTAL MATERIALES VARIOS</t>
        </is>
      </c>
      <c r="B46" s="40" t="n"/>
      <c r="C46" s="40" t="n"/>
      <c r="D46" s="40" t="n"/>
      <c r="E46" s="40" t="n"/>
      <c r="F46" s="40" t="n"/>
      <c r="G46" s="41" t="n"/>
      <c r="H46" s="42">
        <f>SUM(H32:H36)</f>
        <v/>
      </c>
    </row>
    <row r="47"/>
    <row r="48">
      <c r="A48" s="43" t="inlineStr">
        <is>
          <t>TOTAL MATERIALES Y COMPONENTES</t>
        </is>
      </c>
      <c r="B48" s="40" t="n"/>
      <c r="C48" s="40" t="n"/>
      <c r="D48" s="40" t="n"/>
      <c r="E48" s="40" t="n"/>
      <c r="F48" s="40" t="n"/>
      <c r="G48" s="41" t="n"/>
      <c r="H48" s="44">
        <f>SUM(H5:H36)</f>
        <v/>
      </c>
    </row>
    <row r="49">
      <c r="A49" s="45" t="inlineStr">
        <is>
          <t>MANO DE OBRA INSTALACIÓN</t>
        </is>
      </c>
      <c r="B49" s="40" t="n"/>
      <c r="C49" s="40" t="n"/>
      <c r="D49" s="40" t="n"/>
      <c r="E49" s="40" t="n"/>
      <c r="F49" s="40" t="n"/>
      <c r="G49" s="41" t="n"/>
      <c r="H49" s="46" t="n">
        <v>2500</v>
      </c>
    </row>
    <row r="50">
      <c r="A50" s="47" t="inlineStr">
        <is>
          <t>💵 INVERSIÓN TOTAL DEL PROYECTO</t>
        </is>
      </c>
      <c r="B50" s="40" t="n"/>
      <c r="C50" s="40" t="n"/>
      <c r="D50" s="40" t="n"/>
      <c r="E50" s="40" t="n"/>
      <c r="F50" s="40" t="n"/>
      <c r="G50" s="41" t="n"/>
      <c r="H50" s="48">
        <f>H48+H49</f>
        <v/>
      </c>
    </row>
    <row r="51"/>
    <row r="52">
      <c r="A52" s="49" t="inlineStr">
        <is>
          <t>📝 NOTAS: Precios unitarios son referenciales. Ajuste según proveedores locales. Cantidades calculadas automáticamente.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0" t="inlineStr">
        <is>
          <t>INFORME TÉCNICO</t>
        </is>
      </c>
    </row>
    <row r="2">
      <c r="A2" s="51" t="inlineStr">
        <is>
          <t>SISTEMA FOTOVOLTAICO DE AUTOCONSUMO</t>
        </is>
      </c>
    </row>
    <row r="3"/>
    <row r="4">
      <c r="A4" s="52" t="inlineStr">
        <is>
          <t>DATOS DEL CLIENTE</t>
        </is>
      </c>
    </row>
    <row r="5">
      <c r="A5" s="53" t="inlineStr">
        <is>
          <t>Nombre:</t>
        </is>
      </c>
      <c r="B5" s="54" t="inlineStr">
        <is>
          <t>Cliente</t>
        </is>
      </c>
    </row>
    <row r="6">
      <c r="A6" s="53" t="inlineStr">
        <is>
          <t>Email:</t>
        </is>
      </c>
      <c r="B6" s="54" t="inlineStr">
        <is>
          <t>apolivera1973@gmail.com</t>
        </is>
      </c>
    </row>
    <row r="7">
      <c r="A7" s="53" t="inlineStr">
        <is>
          <t>Teléfono:</t>
        </is>
      </c>
      <c r="B7" s="54" t="n"/>
    </row>
    <row r="8">
      <c r="A8" s="53" t="inlineStr">
        <is>
          <t>Dirección:</t>
        </is>
      </c>
      <c r="B8" s="54" t="n"/>
    </row>
    <row r="9">
      <c r="A9" s="53" t="inlineStr">
        <is>
          <t>Fecha:</t>
        </is>
      </c>
      <c r="B9" s="54">
        <f>TODAY()</f>
        <v/>
      </c>
    </row>
    <row r="10">
      <c r="A10" s="55" t="inlineStr">
        <is>
          <t>CONFIGURACIÓN DEL SISTEMA</t>
        </is>
      </c>
    </row>
    <row r="11">
      <c r="A11" s="53" t="inlineStr">
        <is>
          <t>Voltaje del sistema:</t>
        </is>
      </c>
      <c r="B11" s="56">
        <f>Calculadora!D27&amp;" V"</f>
        <v/>
      </c>
    </row>
    <row r="12">
      <c r="A12" s="53" t="inlineStr">
        <is>
          <t>Frecuencia:</t>
        </is>
      </c>
      <c r="B12" s="56">
        <f>Calculadora!D28&amp;" Hz"</f>
        <v/>
      </c>
    </row>
    <row r="13">
      <c r="A13" s="53" t="inlineStr">
        <is>
          <t>Tipo de red eléctrica:</t>
        </is>
      </c>
      <c r="B13" s="56">
        <f>Calculadora!D29</f>
        <v/>
      </c>
    </row>
    <row r="14">
      <c r="A14" s="53" t="inlineStr">
        <is>
          <t>Tipo de inversor:</t>
        </is>
      </c>
      <c r="B14" s="56">
        <f>Calculadora!D30</f>
        <v/>
      </c>
    </row>
    <row r="15"/>
    <row r="16">
      <c r="A16" s="57" t="inlineStr">
        <is>
          <t>RESULTADOS DEL DIMENSIONAMIENTO</t>
        </is>
      </c>
    </row>
    <row r="17">
      <c r="A17" s="53" t="inlineStr">
        <is>
          <t>Consumo diario:</t>
        </is>
      </c>
      <c r="B17" s="56">
        <f>Calculadora!D53&amp;" Wh/día"</f>
        <v/>
      </c>
    </row>
    <row r="18">
      <c r="A18" s="53" t="inlineStr">
        <is>
          <t>Potencia de paneles solares:</t>
        </is>
      </c>
      <c r="B18" s="56">
        <f>TEXT(Calculadora!D58,"0.00")&amp;" Wp"</f>
        <v/>
      </c>
    </row>
    <row r="19">
      <c r="A19" s="53" t="inlineStr">
        <is>
          <t>Cantidad de paneles:</t>
        </is>
      </c>
      <c r="B19" s="56">
        <f>Calculadora!D61&amp;" paneles de "&amp;TEXT(Calculadora!D33,"0.00")&amp;"W"</f>
        <v/>
      </c>
    </row>
    <row r="20">
      <c r="A20" s="53" t="inlineStr">
        <is>
          <t>Configuración de paneles:</t>
        </is>
      </c>
      <c r="B20" s="56">
        <f>Calculadora!D36&amp;" - "&amp;Calculadora!D37&amp;" paneles/string"</f>
        <v/>
      </c>
    </row>
    <row r="21">
      <c r="A21" s="53" t="inlineStr">
        <is>
          <t>Voltaje del string:</t>
        </is>
      </c>
      <c r="B21" s="56">
        <f>TEXT(Calculadora!D40,"0.00")&amp;" V"</f>
        <v/>
      </c>
    </row>
    <row r="22">
      <c r="A22" s="53" t="inlineStr">
        <is>
          <t>Corriente del string:</t>
        </is>
      </c>
      <c r="B22" s="56">
        <f>TEXT(Calculadora!D41,"0.00")&amp;" A"</f>
        <v/>
      </c>
    </row>
    <row r="23">
      <c r="A23" s="53" t="inlineStr">
        <is>
          <t>Número de strings:</t>
        </is>
      </c>
      <c r="B23" s="56">
        <f>Calculadora!D60&amp;" strings"</f>
        <v/>
      </c>
    </row>
    <row r="24">
      <c r="A24" s="53" t="inlineStr">
        <is>
          <t>Potencia del inversor:</t>
        </is>
      </c>
      <c r="B24" s="56">
        <f>ROUND(Calculadora!D62/1000,1)&amp;" kW"</f>
        <v/>
      </c>
    </row>
    <row r="25">
      <c r="A25" s="53" t="inlineStr">
        <is>
          <t>Capacidad de baterías:</t>
        </is>
      </c>
      <c r="B25" s="56">
        <f>ROUND(Calculadora!D56,0)&amp;" Ah @ "&amp;Calculadora!D27&amp;"V"</f>
        <v/>
      </c>
    </row>
    <row r="26">
      <c r="A26" s="53" t="inlineStr">
        <is>
          <t>Tipo de batería:</t>
        </is>
      </c>
      <c r="B26" s="56">
        <f>Calculadora!D46</f>
        <v/>
      </c>
    </row>
    <row r="27">
      <c r="A27" s="53" t="inlineStr">
        <is>
          <t>Corriente controlador:</t>
        </is>
      </c>
      <c r="B27" s="56">
        <f>ROUND(Calculadora!D63,0)&amp;" A"</f>
        <v/>
      </c>
    </row>
    <row r="28"/>
    <row r="29">
      <c r="A29" s="58" t="inlineStr">
        <is>
          <t>OBSERVACIONES Y RECOMENDACIONES</t>
        </is>
      </c>
    </row>
    <row r="30">
      <c r="A30" t="inlineStr">
        <is>
          <t>• Sistema dimensionado para consumo diario con 1 día de autonomía</t>
        </is>
      </c>
    </row>
    <row r="31">
      <c r="A31" t="inlineStr">
        <is>
          <t>• Los paneles deben orientarse al sur (hemisferio norte) con inclinación óptima</t>
        </is>
      </c>
    </row>
    <row r="32">
      <c r="A32" t="inlineStr">
        <is>
          <t>• Se recomienda instalación profesional certificada</t>
        </is>
      </c>
    </row>
    <row r="33">
      <c r="A33" t="inlineStr">
        <is>
          <t>• Mantenimiento periódico de paneles y baterías requerido</t>
        </is>
      </c>
    </row>
    <row r="34">
      <c r="A34" t="inlineStr">
        <is>
          <t>• Verificar normativa eléctrica local antes de instalación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2025-12-13T06:52:32Z</dcterms:created>
  <dcterms:modified xsi:type="dcterms:W3CDTF">2025-12-13T06:55:43Z</dcterms:modified>
</cp:coreProperties>
</file>