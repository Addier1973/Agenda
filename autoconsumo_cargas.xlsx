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s" sheetId="1" state="visible" r:id="rId1"/>
    <sheet name="Dimensionamiento" sheetId="2" state="visible" r:id="rId2"/>
    <sheet name="Autoconsumo híbri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</t>
        </is>
      </c>
      <c r="B1" t="inlineStr">
        <is>
          <t>Cantidad</t>
        </is>
      </c>
      <c r="C1" t="inlineStr">
        <is>
          <t>Potencia_W</t>
        </is>
      </c>
      <c r="D1" t="inlineStr">
        <is>
          <t>Potencia_total_W</t>
        </is>
      </c>
      <c r="E1" t="inlineStr">
        <is>
          <t>Horas_diarias</t>
        </is>
      </c>
      <c r="F1" t="inlineStr">
        <is>
          <t>Energia_diaria_Wh</t>
        </is>
      </c>
      <c r="G1" t="inlineStr">
        <is>
          <t>Energia_diaria_kWh</t>
        </is>
      </c>
      <c r="H1" t="inlineStr">
        <is>
          <t>Energia_reserva_Wh</t>
        </is>
      </c>
      <c r="I1" t="inlineStr">
        <is>
          <t>Energia_reserva_kWh</t>
        </is>
      </c>
      <c r="J1" t="inlineStr">
        <is>
          <t>Observaciones</t>
        </is>
      </c>
    </row>
    <row r="2">
      <c r="A2" t="inlineStr">
        <is>
          <t>Cocina eléctrica</t>
        </is>
      </c>
      <c r="B2" t="n">
        <v>1</v>
      </c>
      <c r="C2" t="n">
        <v>1500</v>
      </c>
      <c r="D2">
        <f>B2*C2</f>
        <v/>
      </c>
      <c r="E2" t="n">
        <v>1.5</v>
      </c>
      <c r="F2">
        <f>D2*E2</f>
        <v/>
      </c>
      <c r="G2">
        <f>F2/1000</f>
        <v/>
      </c>
      <c r="H2">
        <f>F2*Dimensionamiento!$B$9</f>
        <v/>
      </c>
      <c r="I2">
        <f>H2/1000</f>
        <v/>
      </c>
      <c r="J2" t="inlineStr">
        <is>
          <t>Plato resistivo</t>
        </is>
      </c>
    </row>
    <row r="3">
      <c r="A3" t="inlineStr">
        <is>
          <t>Olla multipropósito</t>
        </is>
      </c>
      <c r="B3" t="n">
        <v>1</v>
      </c>
      <c r="C3" t="n">
        <v>1000</v>
      </c>
      <c r="D3">
        <f>B3*C3</f>
        <v/>
      </c>
      <c r="E3" t="n">
        <v>1</v>
      </c>
      <c r="F3">
        <f>D3*E3</f>
        <v/>
      </c>
      <c r="G3">
        <f>F3/1000</f>
        <v/>
      </c>
      <c r="H3">
        <f>F3*Dimensionamiento!$B$9</f>
        <v/>
      </c>
      <c r="I3">
        <f>H3/1000</f>
        <v/>
      </c>
      <c r="J3" t="inlineStr">
        <is>
          <t>Modo lento</t>
        </is>
      </c>
    </row>
    <row r="4">
      <c r="A4" t="inlineStr">
        <is>
          <t>Cocina de inducción</t>
        </is>
      </c>
      <c r="B4" t="n">
        <v>1</v>
      </c>
      <c r="C4" t="n">
        <v>1800</v>
      </c>
      <c r="D4">
        <f>B4*C4</f>
        <v/>
      </c>
      <c r="E4" t="n">
        <v>1</v>
      </c>
      <c r="F4">
        <f>D4*E4</f>
        <v/>
      </c>
      <c r="G4">
        <f>F4/1000</f>
        <v/>
      </c>
      <c r="H4">
        <f>F4*Dimensionamiento!$B$9</f>
        <v/>
      </c>
      <c r="I4">
        <f>H4/1000</f>
        <v/>
      </c>
      <c r="J4" t="inlineStr">
        <is>
          <t>Un quemador</t>
        </is>
      </c>
    </row>
    <row r="5">
      <c r="A5" t="inlineStr">
        <is>
          <t>Refrigerador</t>
        </is>
      </c>
      <c r="B5" t="n">
        <v>1</v>
      </c>
      <c r="C5" t="n">
        <v>150</v>
      </c>
      <c r="D5">
        <f>B5*C5</f>
        <v/>
      </c>
      <c r="E5" t="n">
        <v>8</v>
      </c>
      <c r="F5">
        <f>D5*E5</f>
        <v/>
      </c>
      <c r="G5">
        <f>F5/1000</f>
        <v/>
      </c>
      <c r="H5">
        <f>F5*Dimensionamiento!$B$9</f>
        <v/>
      </c>
      <c r="I5">
        <f>H5/1000</f>
        <v/>
      </c>
      <c r="J5" t="inlineStr">
        <is>
          <t>Ciclo 33%</t>
        </is>
      </c>
    </row>
    <row r="6">
      <c r="A6" t="inlineStr">
        <is>
          <t>Nevera</t>
        </is>
      </c>
      <c r="B6" t="n">
        <v>1</v>
      </c>
      <c r="C6" t="n">
        <v>120</v>
      </c>
      <c r="D6">
        <f>B6*C6</f>
        <v/>
      </c>
      <c r="E6" t="n">
        <v>8</v>
      </c>
      <c r="F6">
        <f>D6*E6</f>
        <v/>
      </c>
      <c r="G6">
        <f>F6/1000</f>
        <v/>
      </c>
      <c r="H6">
        <f>F6*Dimensionamiento!$B$9</f>
        <v/>
      </c>
      <c r="I6">
        <f>H6/1000</f>
        <v/>
      </c>
      <c r="J6" t="inlineStr">
        <is>
          <t>Congelador pequeño</t>
        </is>
      </c>
    </row>
    <row r="7">
      <c r="A7" t="inlineStr">
        <is>
          <t>Horno de aire</t>
        </is>
      </c>
      <c r="B7" t="n">
        <v>1</v>
      </c>
      <c r="C7" t="n">
        <v>1500</v>
      </c>
      <c r="D7">
        <f>B7*C7</f>
        <v/>
      </c>
      <c r="E7" t="n">
        <v>0.75</v>
      </c>
      <c r="F7">
        <f>D7*E7</f>
        <v/>
      </c>
      <c r="G7">
        <f>F7/1000</f>
        <v/>
      </c>
      <c r="H7">
        <f>F7*Dimensionamiento!$B$9</f>
        <v/>
      </c>
      <c r="I7">
        <f>H7/1000</f>
        <v/>
      </c>
      <c r="J7" t="inlineStr">
        <is>
          <t>Freidora de aire</t>
        </is>
      </c>
    </row>
    <row r="8">
      <c r="A8" t="inlineStr">
        <is>
          <t>Batidora</t>
        </is>
      </c>
      <c r="B8" t="n">
        <v>1</v>
      </c>
      <c r="C8" t="n">
        <v>300</v>
      </c>
      <c r="D8">
        <f>B8*C8</f>
        <v/>
      </c>
      <c r="E8" t="n">
        <v>0.2</v>
      </c>
      <c r="F8">
        <f>D8*E8</f>
        <v/>
      </c>
      <c r="G8">
        <f>F8/1000</f>
        <v/>
      </c>
      <c r="H8">
        <f>F8*Dimensionamiento!$B$9</f>
        <v/>
      </c>
      <c r="I8">
        <f>H8/1000</f>
        <v/>
      </c>
      <c r="J8" t="inlineStr">
        <is>
          <t>Consumo puntual</t>
        </is>
      </c>
    </row>
    <row r="9">
      <c r="A9" t="inlineStr">
        <is>
          <t>Microondas</t>
        </is>
      </c>
      <c r="B9" t="n">
        <v>1</v>
      </c>
      <c r="C9" t="n">
        <v>1200</v>
      </c>
      <c r="D9">
        <f>B9*C9</f>
        <v/>
      </c>
      <c r="E9" t="n">
        <v>0.5</v>
      </c>
      <c r="F9">
        <f>D9*E9</f>
        <v/>
      </c>
      <c r="G9">
        <f>F9/1000</f>
        <v/>
      </c>
      <c r="H9">
        <f>F9*Dimensionamiento!$B$9</f>
        <v/>
      </c>
      <c r="I9">
        <f>H9/1000</f>
        <v/>
      </c>
      <c r="J9" t="inlineStr">
        <is>
          <t>Calentamientos</t>
        </is>
      </c>
    </row>
    <row r="10">
      <c r="A10" t="inlineStr">
        <is>
          <t>Lavadora semiautomática</t>
        </is>
      </c>
      <c r="B10" t="n">
        <v>1</v>
      </c>
      <c r="C10" t="n">
        <v>500</v>
      </c>
      <c r="D10">
        <f>B10*C10</f>
        <v/>
      </c>
      <c r="E10" t="n">
        <v>1</v>
      </c>
      <c r="F10">
        <f>D10*E10</f>
        <v/>
      </c>
      <c r="G10">
        <f>F10/1000</f>
        <v/>
      </c>
      <c r="H10">
        <f>F10*Dimensionamiento!$B$9</f>
        <v/>
      </c>
      <c r="I10">
        <f>H10/1000</f>
        <v/>
      </c>
      <c r="J10" t="inlineStr">
        <is>
          <t>Incluye centrifugado</t>
        </is>
      </c>
    </row>
    <row r="11">
      <c r="A11" t="inlineStr">
        <is>
          <t>Ducha eléctrica</t>
        </is>
      </c>
      <c r="B11" t="n">
        <v>1</v>
      </c>
      <c r="C11" t="n">
        <v>5500</v>
      </c>
      <c r="D11">
        <f>B11*C11</f>
        <v/>
      </c>
      <c r="E11" t="n">
        <v>0.2</v>
      </c>
      <c r="F11">
        <f>D11*E11</f>
        <v/>
      </c>
      <c r="G11">
        <f>F11/1000</f>
        <v/>
      </c>
      <c r="H11">
        <f>F11*Dimensionamiento!$B$9</f>
        <v/>
      </c>
      <c r="I11">
        <f>H11/1000</f>
        <v/>
      </c>
      <c r="J11" t="inlineStr">
        <is>
          <t>10-12 min</t>
        </is>
      </c>
    </row>
    <row r="12">
      <c r="A12" t="inlineStr">
        <is>
          <t>Televisor 55"</t>
        </is>
      </c>
      <c r="B12" t="n">
        <v>1</v>
      </c>
      <c r="C12" t="n">
        <v>120</v>
      </c>
      <c r="D12">
        <f>B12*C12</f>
        <v/>
      </c>
      <c r="E12" t="n">
        <v>5</v>
      </c>
      <c r="F12">
        <f>D12*E12</f>
        <v/>
      </c>
      <c r="G12">
        <f>F12/1000</f>
        <v/>
      </c>
      <c r="H12">
        <f>F12*Dimensionamiento!$B$9</f>
        <v/>
      </c>
      <c r="I12">
        <f>H12/1000</f>
        <v/>
      </c>
      <c r="J12" t="inlineStr">
        <is>
          <t>TV LED</t>
        </is>
      </c>
    </row>
    <row r="13">
      <c r="A13" t="inlineStr">
        <is>
          <t>Ventiladores</t>
        </is>
      </c>
      <c r="B13" t="n">
        <v>4</v>
      </c>
      <c r="C13" t="n">
        <v>60</v>
      </c>
      <c r="D13">
        <f>B13*C13</f>
        <v/>
      </c>
      <c r="E13" t="n">
        <v>6</v>
      </c>
      <c r="F13">
        <f>D13*E13</f>
        <v/>
      </c>
      <c r="G13">
        <f>F13/1000</f>
        <v/>
      </c>
      <c r="H13">
        <f>F13*Dimensionamiento!$B$9</f>
        <v/>
      </c>
      <c r="I13">
        <f>H13/1000</f>
        <v/>
      </c>
      <c r="J13" t="inlineStr">
        <is>
          <t>Piso</t>
        </is>
      </c>
    </row>
    <row r="14">
      <c r="A14" t="inlineStr">
        <is>
          <t>Lámparas LED</t>
        </is>
      </c>
      <c r="B14" t="n">
        <v>15</v>
      </c>
      <c r="C14" t="n">
        <v>12</v>
      </c>
      <c r="D14">
        <f>B14*C14</f>
        <v/>
      </c>
      <c r="E14" t="n">
        <v>5</v>
      </c>
      <c r="F14">
        <f>D14*E14</f>
        <v/>
      </c>
      <c r="G14">
        <f>F14/1000</f>
        <v/>
      </c>
      <c r="H14">
        <f>F14*Dimensionamiento!$B$9</f>
        <v/>
      </c>
      <c r="I14">
        <f>H14/1000</f>
        <v/>
      </c>
      <c r="J14" t="inlineStr">
        <is>
          <t>Iluminación general</t>
        </is>
      </c>
    </row>
    <row r="15">
      <c r="A15" t="inlineStr">
        <is>
          <t>Aire acondicionado tipo split</t>
        </is>
      </c>
      <c r="B15" t="n">
        <v>1</v>
      </c>
      <c r="C15" t="n">
        <v>900</v>
      </c>
      <c r="D15">
        <f>B15*C15</f>
        <v/>
      </c>
      <c r="E15" t="n">
        <v>8</v>
      </c>
      <c r="F15">
        <f>D15*E15</f>
        <v/>
      </c>
      <c r="G15">
        <f>F15/1000</f>
        <v/>
      </c>
      <c r="H15">
        <f>F15*Dimensionamiento!$B$9</f>
        <v/>
      </c>
      <c r="I15">
        <f>H15/1000</f>
        <v/>
      </c>
      <c r="J15" t="inlineStr">
        <is>
          <t>12000 BTU</t>
        </is>
      </c>
    </row>
    <row r="16">
      <c r="A16" t="inlineStr">
        <is>
          <t>Cargadores de teléfonos</t>
        </is>
      </c>
      <c r="B16" t="n">
        <v>2</v>
      </c>
      <c r="C16" t="n">
        <v>10</v>
      </c>
      <c r="D16">
        <f>B16*C16</f>
        <v/>
      </c>
      <c r="E16" t="n">
        <v>3</v>
      </c>
      <c r="F16">
        <f>D16*E16</f>
        <v/>
      </c>
      <c r="G16">
        <f>F16/1000</f>
        <v/>
      </c>
      <c r="H16">
        <f>F16*Dimensionamiento!$B$9</f>
        <v/>
      </c>
      <c r="I16">
        <f>H16/1000</f>
        <v/>
      </c>
      <c r="J16" t="inlineStr">
        <is>
          <t>Carga lenta</t>
        </is>
      </c>
    </row>
    <row r="17">
      <c r="A17" t="inlineStr">
        <is>
          <t>Cargador de motorina</t>
        </is>
      </c>
      <c r="B17" t="n">
        <v>1</v>
      </c>
      <c r="C17" t="n">
        <v>600</v>
      </c>
      <c r="D17">
        <f>B17*C17</f>
        <v/>
      </c>
      <c r="E17" t="n">
        <v>2</v>
      </c>
      <c r="F17">
        <f>D17*E17</f>
        <v/>
      </c>
      <c r="G17">
        <f>F17/1000</f>
        <v/>
      </c>
      <c r="H17">
        <f>F17*Dimensionamiento!$B$9</f>
        <v/>
      </c>
      <c r="I17">
        <f>H17/1000</f>
        <v/>
      </c>
      <c r="J17" t="inlineStr">
        <is>
          <t>Scooter eléctrica</t>
        </is>
      </c>
    </row>
    <row r="18">
      <c r="A18" t="inlineStr">
        <is>
          <t>Radio</t>
        </is>
      </c>
      <c r="B18" t="n">
        <v>1</v>
      </c>
      <c r="C18" t="n">
        <v>15</v>
      </c>
      <c r="D18">
        <f>B18*C18</f>
        <v/>
      </c>
      <c r="E18" t="n">
        <v>6</v>
      </c>
      <c r="F18">
        <f>D18*E18</f>
        <v/>
      </c>
      <c r="G18">
        <f>F18/1000</f>
        <v/>
      </c>
      <c r="H18">
        <f>F18*Dimensionamiento!$B$9</f>
        <v/>
      </c>
      <c r="I18">
        <f>H18/1000</f>
        <v/>
      </c>
      <c r="J18" t="inlineStr">
        <is>
          <t>Equipo pequeño</t>
        </is>
      </c>
    </row>
    <row r="19">
      <c r="A19" t="inlineStr">
        <is>
          <t>Teatro en casa 5.1</t>
        </is>
      </c>
      <c r="B19" t="n">
        <v>1</v>
      </c>
      <c r="C19" t="n">
        <v>80</v>
      </c>
      <c r="D19">
        <f>B19*C19</f>
        <v/>
      </c>
      <c r="E19" t="n">
        <v>3</v>
      </c>
      <c r="F19">
        <f>D19*E19</f>
        <v/>
      </c>
      <c r="G19">
        <f>F19/1000</f>
        <v/>
      </c>
      <c r="H19">
        <f>F19*Dimensionamiento!$B$9</f>
        <v/>
      </c>
      <c r="I19">
        <f>H19/1000</f>
        <v/>
      </c>
      <c r="J19" t="inlineStr">
        <is>
          <t>Amplificador</t>
        </is>
      </c>
    </row>
    <row r="20">
      <c r="A20" t="inlineStr">
        <is>
          <t>TOTAL</t>
        </is>
      </c>
      <c r="D20">
        <f>SUM(D2:D19)</f>
        <v/>
      </c>
      <c r="F20">
        <f>SUM(F2:F19)</f>
        <v/>
      </c>
      <c r="G20">
        <f>SUM(G2:G19)</f>
        <v/>
      </c>
      <c r="H20">
        <f>SUM(H2:H19)</f>
        <v/>
      </c>
      <c r="I20">
        <f>SUM(I2:I19)</f>
        <v/>
      </c>
      <c r="J20" t="inlineStr">
        <is>
          <t>Suma para reserva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Supuesto</t>
        </is>
      </c>
      <c r="B1" t="inlineStr">
        <is>
          <t>Valor</t>
        </is>
      </c>
      <c r="C1" t="inlineStr">
        <is>
          <t>Comentario</t>
        </is>
      </c>
    </row>
    <row r="2">
      <c r="A2" t="inlineStr">
        <is>
          <t>DoD plomo</t>
        </is>
      </c>
      <c r="B2" t="n">
        <v>0.8</v>
      </c>
      <c r="C2" t="inlineStr">
        <is>
          <t>Editar si usas AGM/GEL</t>
        </is>
      </c>
    </row>
    <row r="3">
      <c r="A3" t="inlineStr">
        <is>
          <t>DoD LiFePO4</t>
        </is>
      </c>
      <c r="B3" t="n">
        <v>0.9</v>
      </c>
      <c r="C3" t="inlineStr">
        <is>
          <t>Mayor profundidad de descarga</t>
        </is>
      </c>
    </row>
    <row r="4">
      <c r="A4" t="inlineStr">
        <is>
          <t>Módulo LiFePO4 (kWh)</t>
        </is>
      </c>
      <c r="B4" t="n">
        <v>5.12</v>
      </c>
      <c r="C4" t="inlineStr">
        <is>
          <t>Batería típica 100 Ah</t>
        </is>
      </c>
    </row>
    <row r="5">
      <c r="A5" t="inlineStr">
        <is>
          <t>Tensión banco (V)</t>
        </is>
      </c>
      <c r="B5" t="n">
        <v>48</v>
      </c>
      <c r="C5" t="inlineStr">
        <is>
          <t>Sistema 48 Vcc</t>
        </is>
      </c>
    </row>
    <row r="6">
      <c r="A6" t="inlineStr">
        <is>
          <t>PSH (h sol pico)</t>
        </is>
      </c>
      <c r="B6" t="n">
        <v>5</v>
      </c>
      <c r="C6" t="inlineStr">
        <is>
          <t>Ajustar a sitio</t>
        </is>
      </c>
    </row>
    <row r="7">
      <c r="A7" t="inlineStr">
        <is>
          <t>Factor pérdidas</t>
        </is>
      </c>
      <c r="B7" t="n">
        <v>0.8</v>
      </c>
      <c r="C7" t="inlineStr">
        <is>
          <t>Cableado, inversor, etc.</t>
        </is>
      </c>
    </row>
    <row r="8">
      <c r="A8" t="inlineStr">
        <is>
          <t>Margen inversor</t>
        </is>
      </c>
      <c r="B8" t="n">
        <v>1.25</v>
      </c>
      <c r="C8" t="inlineStr">
        <is>
          <t>25% sobre pico</t>
        </is>
      </c>
    </row>
    <row r="9">
      <c r="A9" t="inlineStr">
        <is>
          <t>Reserva días</t>
        </is>
      </c>
      <c r="B9" t="n">
        <v>1</v>
      </c>
      <c r="C9" t="inlineStr">
        <is>
          <t>Energía adicional</t>
        </is>
      </c>
    </row>
    <row r="11">
      <c r="A11" t="inlineStr">
        <is>
          <t>Parámetro</t>
        </is>
      </c>
      <c r="B11" t="inlineStr">
        <is>
          <t>Valor</t>
        </is>
      </c>
      <c r="C11" t="inlineStr">
        <is>
          <t>Notas</t>
        </is>
      </c>
    </row>
    <row r="12">
      <c r="A12" t="inlineStr">
        <is>
          <t>Energía diaria total (Wh)</t>
        </is>
      </c>
      <c r="B12">
        <f>Cargas!F20</f>
        <v/>
      </c>
      <c r="C12" t="inlineStr">
        <is>
          <t>Se actualiza con la tabla</t>
        </is>
      </c>
    </row>
    <row r="13">
      <c r="A13" t="inlineStr">
        <is>
          <t>Energía diaria total (kWh)</t>
        </is>
      </c>
      <c r="B13">
        <f>Cargas!G20</f>
        <v/>
      </c>
      <c r="C13" t="inlineStr">
        <is>
          <t>Wh / 1000</t>
        </is>
      </c>
    </row>
    <row r="14">
      <c r="A14" t="inlineStr">
        <is>
          <t>Energía para reserva (Wh)</t>
        </is>
      </c>
      <c r="B14">
        <f>Cargas!H20</f>
        <v/>
      </c>
      <c r="C14" t="inlineStr">
        <is>
          <t>Incluye días de respaldo</t>
        </is>
      </c>
    </row>
    <row r="15">
      <c r="A15" t="inlineStr">
        <is>
          <t>Capacidad útil banco 48V (Ah)</t>
        </is>
      </c>
      <c r="B15">
        <f>Cargas!H20/Dimensionamiento!B5</f>
        <v/>
      </c>
      <c r="C15" t="inlineStr">
        <is>
          <t>Wh / V</t>
        </is>
      </c>
    </row>
    <row r="16">
      <c r="A16" t="inlineStr">
        <is>
          <t>Banco @DoD 80% (Ah)</t>
        </is>
      </c>
      <c r="B16">
        <f>Cargas!H20/(Dimensionamiento!B5*Dimensionamiento!B2)</f>
        <v/>
      </c>
      <c r="C16" t="inlineStr">
        <is>
          <t>Plomo/AGM</t>
        </is>
      </c>
    </row>
    <row r="17">
      <c r="A17" t="inlineStr">
        <is>
          <t>Banco LiFePO4 @90% (Ah)</t>
        </is>
      </c>
      <c r="B17">
        <f>Cargas!H20/(Dimensionamiento!B5*Dimensionamiento!B3)</f>
        <v/>
      </c>
      <c r="C17" t="inlineStr">
        <is>
          <t>Mayor DoD</t>
        </is>
      </c>
    </row>
    <row r="18">
      <c r="A18" t="inlineStr">
        <is>
          <t>Energía útil LiFePO4 (kWh)</t>
        </is>
      </c>
      <c r="B18">
        <f>Cargas!H20/1000/Dimensionamiento!B3</f>
        <v/>
      </c>
      <c r="C18" t="inlineStr">
        <is>
          <t>Wh / kWh / DoD</t>
        </is>
      </c>
    </row>
    <row r="19">
      <c r="A19" t="inlineStr">
        <is>
          <t>Módulos LiFePO4 necesarios</t>
        </is>
      </c>
      <c r="B19">
        <f>ROUNDUP((Cargas!H20/1000/Dimensionamiento!B3)/Dimensionamiento!B4,0)</f>
        <v/>
      </c>
      <c r="C19" t="inlineStr">
        <is>
          <t>Cada módulo B4</t>
        </is>
      </c>
    </row>
    <row r="20">
      <c r="A20" t="inlineStr">
        <is>
          <t>Potencia FV sugerida (kWp)</t>
        </is>
      </c>
      <c r="B20">
        <f>Cargas!G20/(Dimensionamiento!B6*Dimensionamiento!B7)</f>
        <v/>
      </c>
      <c r="C20" t="inlineStr">
        <is>
          <t>PSH y pérdidas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Valor</t>
        </is>
      </c>
      <c r="C1" t="inlineStr">
        <is>
          <t>Notas</t>
        </is>
      </c>
    </row>
    <row r="2">
      <c r="A2" t="inlineStr">
        <is>
          <t>Potencia pico considerada (kW)</t>
        </is>
      </c>
      <c r="B2">
        <f>(LARGE(Cargas!$D$2:Cargas!$D$19,1)+LARGE(Cargas!$D$2:Cargas!$D$19,2)+LARGE(Cargas!$D$2:Cargas!$D$19,3))/1000</f>
        <v/>
      </c>
      <c r="C2" t="inlineStr">
        <is>
          <t>Suma de las 3 cargas mayores</t>
        </is>
      </c>
    </row>
    <row r="3">
      <c r="A3" t="inlineStr">
        <is>
          <t>Inversor híbrido sugerido (kW)</t>
        </is>
      </c>
      <c r="B3">
        <f>B2*Dimensionamiento!B8</f>
        <v/>
      </c>
      <c r="C3" t="inlineStr">
        <is>
          <t>Margen sobre potencia pico</t>
        </is>
      </c>
    </row>
    <row r="4">
      <c r="A4" t="inlineStr">
        <is>
          <t>Corriente DC @pico (A)</t>
        </is>
      </c>
      <c r="B4">
        <f>B3*1000/Dimensionamiento!B5</f>
        <v/>
      </c>
      <c r="C4" t="inlineStr">
        <is>
          <t>Inversor 48 V</t>
        </is>
      </c>
    </row>
    <row r="5">
      <c r="A5" t="inlineStr">
        <is>
          <t>Carga promedio diaria (kW)</t>
        </is>
      </c>
      <c r="B5">
        <f>Dimensionamiento!B13/24</f>
        <v/>
      </c>
      <c r="C5" t="inlineStr">
        <is>
          <t>kWh/24h</t>
        </is>
      </c>
    </row>
    <row r="6">
      <c r="A6" t="inlineStr">
        <is>
          <t>Banco LiFePO4 recomendado (Ah)</t>
        </is>
      </c>
      <c r="B6">
        <f>Dimensionamiento!B17</f>
        <v/>
      </c>
      <c r="C6" t="inlineStr">
        <is>
          <t>Ah requeridos @90% DoD</t>
        </is>
      </c>
    </row>
    <row r="7">
      <c r="A7" t="inlineStr">
        <is>
          <t>Módulos LiFePO4 (5.12 kWh)</t>
        </is>
      </c>
      <c r="B7">
        <f>Dimensionamiento!B19</f>
        <v/>
      </c>
      <c r="C7" t="inlineStr">
        <is>
          <t>Celdas de referencia</t>
        </is>
      </c>
    </row>
    <row r="8">
      <c r="A8" t="inlineStr">
        <is>
          <t>Reserva considerada (días)</t>
        </is>
      </c>
      <c r="B8">
        <f>Dimensionamiento!B9</f>
        <v/>
      </c>
      <c r="C8" t="inlineStr">
        <is>
          <t>Editar en hoja de supuestos</t>
        </is>
      </c>
    </row>
    <row r="9">
      <c r="A9" t="inlineStr">
        <is>
          <t>Frecuencia / tensión</t>
        </is>
      </c>
      <c r="B9" t="inlineStr">
        <is>
          <t>48 Vcc / 60 Hz</t>
        </is>
      </c>
      <c r="C9" t="inlineStr">
        <is>
          <t>Sistema monofásico 110 V</t>
        </is>
      </c>
    </row>
    <row r="10">
      <c r="A10" t="inlineStr">
        <is>
          <t>Notas</t>
        </is>
      </c>
      <c r="B10" t="inlineStr">
        <is>
          <t>Ajusta simultaneidad y potencias reales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2025-12-10T02:38:05Z</dcterms:created>
  <dcterms:modified xsi:type="dcterms:W3CDTF">2025-12-10T02:38:05Z</dcterms:modified>
</cp:coreProperties>
</file>