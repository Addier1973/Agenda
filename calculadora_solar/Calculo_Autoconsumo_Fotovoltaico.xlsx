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álculo Autocon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1"/>
    </font>
    <font>
      <b val="1"/>
      <color rgb="00FFFFFF"/>
      <sz val="12"/>
    </font>
    <font>
      <b val="1"/>
      <color rgb="00FFFFFF"/>
      <sz val="10"/>
    </font>
    <font>
      <b val="1"/>
    </font>
    <font>
      <i val="1"/>
      <sz val="9"/>
    </font>
    <font>
      <b val="1"/>
      <color rgb="00FFFFFF"/>
    </font>
    <font>
      <sz val="9"/>
    </font>
  </fonts>
  <fills count="9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F2CC"/>
        <bgColor rgb="00FFF2CC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2" fontId="2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0" fontId="4" fillId="7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2" fillId="8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4" customWidth="1" min="4" max="4"/>
    <col width="12" customWidth="1" min="5" max="5"/>
    <col width="18" customWidth="1" min="6" max="6"/>
    <col width="13" customWidth="1" min="7" max="7"/>
    <col width="18" customWidth="1" min="8" max="8"/>
  </cols>
  <sheetData>
    <row r="1" ht="25" customHeight="1">
      <c r="A1" s="1" t="inlineStr">
        <is>
          <t>CÁLCULO DE AUTOCONSUMO - SISTEMA FOTOVOLTAICO HÍBRIDO</t>
        </is>
      </c>
    </row>
    <row r="2" ht="20" customHeight="1">
      <c r="A2" s="2" t="inlineStr">
        <is>
          <t>Sistema: 110V Monofásico | Híbrido 48V 60Hz | Reserva: 1 día</t>
        </is>
      </c>
    </row>
    <row r="4" ht="30" customHeight="1">
      <c r="A4" s="3" t="inlineStr">
        <is>
          <t>N°</t>
        </is>
      </c>
      <c r="B4" s="3" t="inlineStr">
        <is>
          <t>EQUIPO/APARATO</t>
        </is>
      </c>
      <c r="C4" s="3" t="inlineStr">
        <is>
          <t>CANTIDAD</t>
        </is>
      </c>
      <c r="D4" s="3" t="inlineStr">
        <is>
          <t>POTENCIA (W)</t>
        </is>
      </c>
      <c r="E4" s="3" t="inlineStr">
        <is>
          <t>HORAS/DÍA</t>
        </is>
      </c>
      <c r="F4" s="3" t="inlineStr">
        <is>
          <t>CONSUMO DIARIO (Wh)</t>
        </is>
      </c>
      <c r="G4" s="3" t="inlineStr">
        <is>
          <t>FACTOR USO</t>
        </is>
      </c>
      <c r="H4" s="3" t="inlineStr">
        <is>
          <t>CONSUMO REAL (Wh)</t>
        </is>
      </c>
    </row>
    <row r="5">
      <c r="A5" s="4" t="inlineStr">
        <is>
          <t>1</t>
        </is>
      </c>
      <c r="B5" s="4" t="inlineStr">
        <is>
          <t>Cocina eléctrica</t>
        </is>
      </c>
      <c r="C5" s="5" t="n">
        <v>1</v>
      </c>
      <c r="D5" s="5" t="n">
        <v>2000</v>
      </c>
      <c r="E5" s="5" t="n">
        <v>1.5</v>
      </c>
      <c r="F5" s="6">
        <f>C5*D5*E5</f>
        <v/>
      </c>
      <c r="G5" s="5" t="n">
        <v>0.7</v>
      </c>
      <c r="H5" s="6">
        <f>F5*G5</f>
        <v/>
      </c>
    </row>
    <row r="6">
      <c r="A6" s="4" t="inlineStr">
        <is>
          <t>2</t>
        </is>
      </c>
      <c r="B6" s="4" t="inlineStr">
        <is>
          <t>Olla multipropósito</t>
        </is>
      </c>
      <c r="C6" s="5" t="n">
        <v>1</v>
      </c>
      <c r="D6" s="5" t="n">
        <v>1000</v>
      </c>
      <c r="E6" s="5" t="n">
        <v>1</v>
      </c>
      <c r="F6" s="6">
        <f>C6*D6*E6</f>
        <v/>
      </c>
      <c r="G6" s="5" t="n">
        <v>0.8</v>
      </c>
      <c r="H6" s="6">
        <f>F6*G6</f>
        <v/>
      </c>
    </row>
    <row r="7">
      <c r="A7" s="4" t="inlineStr">
        <is>
          <t>3</t>
        </is>
      </c>
      <c r="B7" s="4" t="inlineStr">
        <is>
          <t>Cocina de inducción</t>
        </is>
      </c>
      <c r="C7" s="5" t="n">
        <v>1</v>
      </c>
      <c r="D7" s="5" t="n">
        <v>1800</v>
      </c>
      <c r="E7" s="5" t="n">
        <v>1</v>
      </c>
      <c r="F7" s="6">
        <f>C7*D7*E7</f>
        <v/>
      </c>
      <c r="G7" s="5" t="n">
        <v>0.7</v>
      </c>
      <c r="H7" s="6">
        <f>F7*G7</f>
        <v/>
      </c>
    </row>
    <row r="8">
      <c r="A8" s="4" t="inlineStr">
        <is>
          <t>4</t>
        </is>
      </c>
      <c r="B8" s="4" t="inlineStr">
        <is>
          <t>Refrigerador</t>
        </is>
      </c>
      <c r="C8" s="5" t="n">
        <v>1</v>
      </c>
      <c r="D8" s="5" t="n">
        <v>150</v>
      </c>
      <c r="E8" s="5" t="n">
        <v>24</v>
      </c>
      <c r="F8" s="6">
        <f>C8*D8*E8</f>
        <v/>
      </c>
      <c r="G8" s="5" t="n">
        <v>0.4</v>
      </c>
      <c r="H8" s="6">
        <f>F8*G8</f>
        <v/>
      </c>
    </row>
    <row r="9">
      <c r="A9" s="4" t="inlineStr">
        <is>
          <t>5</t>
        </is>
      </c>
      <c r="B9" s="4" t="inlineStr">
        <is>
          <t>Nevera</t>
        </is>
      </c>
      <c r="C9" s="5" t="n">
        <v>1</v>
      </c>
      <c r="D9" s="5" t="n">
        <v>120</v>
      </c>
      <c r="E9" s="5" t="n">
        <v>24</v>
      </c>
      <c r="F9" s="6">
        <f>C9*D9*E9</f>
        <v/>
      </c>
      <c r="G9" s="5" t="n">
        <v>0.4</v>
      </c>
      <c r="H9" s="6">
        <f>F9*G9</f>
        <v/>
      </c>
    </row>
    <row r="10">
      <c r="A10" s="4" t="inlineStr">
        <is>
          <t>6</t>
        </is>
      </c>
      <c r="B10" s="4" t="inlineStr">
        <is>
          <t>Horno de aire</t>
        </is>
      </c>
      <c r="C10" s="5" t="n">
        <v>1</v>
      </c>
      <c r="D10" s="5" t="n">
        <v>1500</v>
      </c>
      <c r="E10" s="5" t="n">
        <v>0.5</v>
      </c>
      <c r="F10" s="6">
        <f>C10*D10*E10</f>
        <v/>
      </c>
      <c r="G10" s="5" t="n">
        <v>0.8</v>
      </c>
      <c r="H10" s="6">
        <f>F10*G10</f>
        <v/>
      </c>
    </row>
    <row r="11">
      <c r="A11" s="4" t="inlineStr">
        <is>
          <t>7</t>
        </is>
      </c>
      <c r="B11" s="4" t="inlineStr">
        <is>
          <t>Batidora</t>
        </is>
      </c>
      <c r="C11" s="5" t="n">
        <v>1</v>
      </c>
      <c r="D11" s="5" t="n">
        <v>300</v>
      </c>
      <c r="E11" s="5" t="n">
        <v>0.3</v>
      </c>
      <c r="F11" s="6">
        <f>C11*D11*E11</f>
        <v/>
      </c>
      <c r="G11" s="5" t="n">
        <v>1</v>
      </c>
      <c r="H11" s="6">
        <f>F11*G11</f>
        <v/>
      </c>
    </row>
    <row r="12">
      <c r="A12" s="4" t="inlineStr">
        <is>
          <t>8</t>
        </is>
      </c>
      <c r="B12" s="4" t="inlineStr">
        <is>
          <t>Microondas</t>
        </is>
      </c>
      <c r="C12" s="5" t="n">
        <v>1</v>
      </c>
      <c r="D12" s="5" t="n">
        <v>1200</v>
      </c>
      <c r="E12" s="5" t="n">
        <v>0.5</v>
      </c>
      <c r="F12" s="6">
        <f>C12*D12*E12</f>
        <v/>
      </c>
      <c r="G12" s="5" t="n">
        <v>0.8</v>
      </c>
      <c r="H12" s="6">
        <f>F12*G12</f>
        <v/>
      </c>
    </row>
    <row r="13">
      <c r="A13" s="4" t="inlineStr">
        <is>
          <t>9</t>
        </is>
      </c>
      <c r="B13" s="4" t="inlineStr">
        <is>
          <t>Lavadora semiautomática</t>
        </is>
      </c>
      <c r="C13" s="5" t="n">
        <v>1</v>
      </c>
      <c r="D13" s="5" t="n">
        <v>400</v>
      </c>
      <c r="E13" s="5" t="n">
        <v>1</v>
      </c>
      <c r="F13" s="6">
        <f>C13*D13*E13</f>
        <v/>
      </c>
      <c r="G13" s="5" t="n">
        <v>0.8</v>
      </c>
      <c r="H13" s="6">
        <f>F13*G13</f>
        <v/>
      </c>
    </row>
    <row r="14">
      <c r="A14" s="4" t="inlineStr">
        <is>
          <t>10</t>
        </is>
      </c>
      <c r="B14" s="4" t="inlineStr">
        <is>
          <t>Ducha eléctrica</t>
        </is>
      </c>
      <c r="C14" s="5" t="n">
        <v>1</v>
      </c>
      <c r="D14" s="5" t="n">
        <v>4500</v>
      </c>
      <c r="E14" s="5" t="n">
        <v>0.5</v>
      </c>
      <c r="F14" s="6">
        <f>C14*D14*E14</f>
        <v/>
      </c>
      <c r="G14" s="5" t="n">
        <v>1</v>
      </c>
      <c r="H14" s="6">
        <f>F14*G14</f>
        <v/>
      </c>
    </row>
    <row r="15">
      <c r="A15" s="4" t="inlineStr">
        <is>
          <t>11</t>
        </is>
      </c>
      <c r="B15" s="4" t="inlineStr">
        <is>
          <t>Televisor 55 pulgadas</t>
        </is>
      </c>
      <c r="C15" s="5" t="n">
        <v>1</v>
      </c>
      <c r="D15" s="5" t="n">
        <v>120</v>
      </c>
      <c r="E15" s="5" t="n">
        <v>6</v>
      </c>
      <c r="F15" s="6">
        <f>C15*D15*E15</f>
        <v/>
      </c>
      <c r="G15" s="5" t="n">
        <v>1</v>
      </c>
      <c r="H15" s="6">
        <f>F15*G15</f>
        <v/>
      </c>
    </row>
    <row r="16">
      <c r="A16" s="4" t="inlineStr">
        <is>
          <t>12</t>
        </is>
      </c>
      <c r="B16" s="4" t="inlineStr">
        <is>
          <t>Ventiladores</t>
        </is>
      </c>
      <c r="C16" s="5" t="n">
        <v>4</v>
      </c>
      <c r="D16" s="5" t="n">
        <v>60</v>
      </c>
      <c r="E16" s="5" t="n">
        <v>8</v>
      </c>
      <c r="F16" s="6">
        <f>C16*D16*E16</f>
        <v/>
      </c>
      <c r="G16" s="5" t="n">
        <v>1</v>
      </c>
      <c r="H16" s="6">
        <f>F16*G16</f>
        <v/>
      </c>
    </row>
    <row r="17">
      <c r="A17" s="4" t="inlineStr">
        <is>
          <t>13</t>
        </is>
      </c>
      <c r="B17" s="4" t="inlineStr">
        <is>
          <t>Lámparas LED</t>
        </is>
      </c>
      <c r="C17" s="5" t="n">
        <v>15</v>
      </c>
      <c r="D17" s="5" t="n">
        <v>10</v>
      </c>
      <c r="E17" s="5" t="n">
        <v>5</v>
      </c>
      <c r="F17" s="6">
        <f>C17*D17*E17</f>
        <v/>
      </c>
      <c r="G17" s="5" t="n">
        <v>1</v>
      </c>
      <c r="H17" s="6">
        <f>F17*G17</f>
        <v/>
      </c>
    </row>
    <row r="18">
      <c r="A18" s="4" t="inlineStr">
        <is>
          <t>14</t>
        </is>
      </c>
      <c r="B18" s="4" t="inlineStr">
        <is>
          <t>Split (Aire Acondicionado)</t>
        </is>
      </c>
      <c r="C18" s="5" t="n">
        <v>1</v>
      </c>
      <c r="D18" s="5" t="n">
        <v>1200</v>
      </c>
      <c r="E18" s="5" t="n">
        <v>6</v>
      </c>
      <c r="F18" s="6">
        <f>C18*D18*E18</f>
        <v/>
      </c>
      <c r="G18" s="5" t="n">
        <v>0.7</v>
      </c>
      <c r="H18" s="6">
        <f>F18*G18</f>
        <v/>
      </c>
    </row>
    <row r="19">
      <c r="A19" s="4" t="inlineStr">
        <is>
          <t>15</t>
        </is>
      </c>
      <c r="B19" s="4" t="inlineStr">
        <is>
          <t>Cargadores de teléfonos</t>
        </is>
      </c>
      <c r="C19" s="5" t="n">
        <v>2</v>
      </c>
      <c r="D19" s="5" t="n">
        <v>10</v>
      </c>
      <c r="E19" s="5" t="n">
        <v>3</v>
      </c>
      <c r="F19" s="6">
        <f>C19*D19*E19</f>
        <v/>
      </c>
      <c r="G19" s="5" t="n">
        <v>1</v>
      </c>
      <c r="H19" s="6">
        <f>F19*G19</f>
        <v/>
      </c>
    </row>
    <row r="20">
      <c r="A20" s="4" t="inlineStr">
        <is>
          <t>16</t>
        </is>
      </c>
      <c r="B20" s="4" t="inlineStr">
        <is>
          <t>Cargador de motosierra</t>
        </is>
      </c>
      <c r="C20" s="5" t="n">
        <v>1</v>
      </c>
      <c r="D20" s="5" t="n">
        <v>80</v>
      </c>
      <c r="E20" s="5" t="n">
        <v>2</v>
      </c>
      <c r="F20" s="6">
        <f>C20*D20*E20</f>
        <v/>
      </c>
      <c r="G20" s="5" t="n">
        <v>1</v>
      </c>
      <c r="H20" s="6">
        <f>F20*G20</f>
        <v/>
      </c>
    </row>
    <row r="21">
      <c r="A21" s="4" t="inlineStr">
        <is>
          <t>17</t>
        </is>
      </c>
      <c r="B21" s="4" t="inlineStr">
        <is>
          <t>Radio</t>
        </is>
      </c>
      <c r="C21" s="5" t="n">
        <v>1</v>
      </c>
      <c r="D21" s="5" t="n">
        <v>15</v>
      </c>
      <c r="E21" s="5" t="n">
        <v>4</v>
      </c>
      <c r="F21" s="6">
        <f>C21*D21*E21</f>
        <v/>
      </c>
      <c r="G21" s="5" t="n">
        <v>1</v>
      </c>
      <c r="H21" s="6">
        <f>F21*G21</f>
        <v/>
      </c>
    </row>
    <row r="22">
      <c r="A22" s="4" t="inlineStr">
        <is>
          <t>18</t>
        </is>
      </c>
      <c r="B22" s="4" t="inlineStr">
        <is>
          <t>Teatro en casa 5.1</t>
        </is>
      </c>
      <c r="C22" s="5" t="n">
        <v>1</v>
      </c>
      <c r="D22" s="5" t="n">
        <v>150</v>
      </c>
      <c r="E22" s="5" t="n">
        <v>3</v>
      </c>
      <c r="F22" s="6">
        <f>C22*D22*E22</f>
        <v/>
      </c>
      <c r="G22" s="5" t="n">
        <v>1</v>
      </c>
      <c r="H22" s="6">
        <f>F22*G22</f>
        <v/>
      </c>
    </row>
    <row r="23">
      <c r="A23" s="7" t="inlineStr">
        <is>
          <t>TOTAL CONSUMO DIARIO</t>
        </is>
      </c>
      <c r="F23" s="8">
        <f>SUM(F5:F22)</f>
        <v/>
      </c>
      <c r="G23" s="9" t="n"/>
      <c r="H23" s="8">
        <f>SUM(H5:H22)</f>
        <v/>
      </c>
    </row>
    <row r="25">
      <c r="A25" s="10" t="inlineStr">
        <is>
          <t>DIMENSIONAMIENTO DEL SISTEMA FOTOVOLTAICO</t>
        </is>
      </c>
    </row>
    <row r="26">
      <c r="A26" s="11" t="inlineStr"/>
      <c r="B26" s="11" t="inlineStr">
        <is>
          <t>PARÁMETRO</t>
        </is>
      </c>
      <c r="C26" s="11" t="inlineStr">
        <is>
          <t>VALOR</t>
        </is>
      </c>
      <c r="D26" s="11" t="inlineStr">
        <is>
          <t>UNIDAD</t>
        </is>
      </c>
      <c r="F26" s="11" t="inlineStr">
        <is>
          <t>FÓRMULA/DESCRIPCIÓN</t>
        </is>
      </c>
    </row>
    <row r="27">
      <c r="A27" s="12" t="inlineStr">
        <is>
          <t>1</t>
        </is>
      </c>
      <c r="B27" s="13" t="inlineStr">
        <is>
          <t>Consumo diario real</t>
        </is>
      </c>
      <c r="C27" s="14">
        <f>H23</f>
        <v/>
      </c>
      <c r="D27" s="5" t="inlineStr">
        <is>
          <t>Wh/día</t>
        </is>
      </c>
      <c r="F27" s="15" t="inlineStr">
        <is>
          <t>Suma de consumos con factor de uso</t>
        </is>
      </c>
    </row>
    <row r="28">
      <c r="A28" s="12" t="inlineStr">
        <is>
          <t>2</t>
        </is>
      </c>
      <c r="B28" s="13" t="inlineStr">
        <is>
          <t>Días de autonomía</t>
        </is>
      </c>
      <c r="C28" s="16" t="n">
        <v>1</v>
      </c>
      <c r="D28" s="5" t="inlineStr">
        <is>
          <t>días</t>
        </is>
      </c>
      <c r="F28" s="15" t="inlineStr">
        <is>
          <t>Reserva del banco de baterías</t>
        </is>
      </c>
    </row>
    <row r="29">
      <c r="A29" s="12" t="inlineStr">
        <is>
          <t>3</t>
        </is>
      </c>
      <c r="B29" s="13" t="inlineStr">
        <is>
          <t>Profundidad de descarga</t>
        </is>
      </c>
      <c r="C29" s="16" t="n">
        <v>0.5</v>
      </c>
      <c r="D29" s="5" t="inlineStr"/>
      <c r="F29" s="15" t="inlineStr">
        <is>
          <t>50% para baterías de ciclo profundo</t>
        </is>
      </c>
    </row>
    <row r="30">
      <c r="A30" s="12" t="inlineStr">
        <is>
          <t>4</t>
        </is>
      </c>
      <c r="B30" s="13" t="inlineStr">
        <is>
          <t>Eficiencia del inversor</t>
        </is>
      </c>
      <c r="C30" s="16" t="n">
        <v>0.9</v>
      </c>
      <c r="D30" s="5" t="inlineStr"/>
      <c r="F30" s="15" t="inlineStr">
        <is>
          <t>90% eficiencia típica</t>
        </is>
      </c>
    </row>
    <row r="31">
      <c r="A31" s="12" t="inlineStr">
        <is>
          <t>5</t>
        </is>
      </c>
      <c r="B31" s="13" t="inlineStr">
        <is>
          <t>Capacidad del banco (Wh)</t>
        </is>
      </c>
      <c r="C31" s="14">
        <f>C27*C28/C29</f>
        <v/>
      </c>
      <c r="D31" s="5" t="inlineStr">
        <is>
          <t>Wh</t>
        </is>
      </c>
      <c r="F31" s="15">
        <f>Consumo × Días autonomía / Prof. descarga</f>
        <v/>
      </c>
    </row>
    <row r="32">
      <c r="A32" s="12" t="inlineStr">
        <is>
          <t>6</t>
        </is>
      </c>
      <c r="B32" s="13" t="inlineStr">
        <is>
          <t>Capacidad del banco (Ah)</t>
        </is>
      </c>
      <c r="C32" s="14">
        <f>C31/48</f>
        <v/>
      </c>
      <c r="D32" s="5" t="inlineStr">
        <is>
          <t>Ah</t>
        </is>
      </c>
      <c r="F32" s="15">
        <f>Capacidad Wh / Voltaje sistema (48V)</f>
        <v/>
      </c>
    </row>
    <row r="33">
      <c r="A33" s="12" t="inlineStr">
        <is>
          <t>7</t>
        </is>
      </c>
      <c r="B33" s="13" t="inlineStr">
        <is>
          <t>Horas sol pico (HSP)</t>
        </is>
      </c>
      <c r="C33" s="16" t="n">
        <v>5</v>
      </c>
      <c r="D33" s="5" t="inlineStr">
        <is>
          <t>horas</t>
        </is>
      </c>
      <c r="F33" s="15" t="inlineStr">
        <is>
          <t>Promedio para diseño (ajustar según región)</t>
        </is>
      </c>
    </row>
    <row r="34">
      <c r="A34" s="12" t="inlineStr">
        <is>
          <t>8</t>
        </is>
      </c>
      <c r="B34" s="13" t="inlineStr">
        <is>
          <t>Factor de pérdidas sistema</t>
        </is>
      </c>
      <c r="C34" s="16" t="n">
        <v>0.75</v>
      </c>
      <c r="D34" s="5" t="inlineStr"/>
      <c r="F34" s="15" t="inlineStr">
        <is>
          <t>25% pérdidas (cables, polvo, temperatura)</t>
        </is>
      </c>
    </row>
    <row r="35">
      <c r="A35" s="12" t="inlineStr">
        <is>
          <t>9</t>
        </is>
      </c>
      <c r="B35" s="13" t="inlineStr">
        <is>
          <t>Potencia pico paneles FV</t>
        </is>
      </c>
      <c r="C35" s="14">
        <f>(C27/C30)/C34/C35</f>
        <v/>
      </c>
      <c r="D35" s="5" t="inlineStr">
        <is>
          <t>Wp</t>
        </is>
      </c>
      <c r="F35" s="15">
        <f>Consumo / Efic. inv. / HSP / Factor pérdidas</f>
        <v/>
      </c>
    </row>
    <row r="36">
      <c r="A36" s="12" t="inlineStr">
        <is>
          <t>10</t>
        </is>
      </c>
      <c r="B36" s="13" t="inlineStr">
        <is>
          <t>Potencia pico recomendada</t>
        </is>
      </c>
      <c r="C36" s="14">
        <f>C36*1.2</f>
        <v/>
      </c>
      <c r="D36" s="5" t="inlineStr">
        <is>
          <t>Wp</t>
        </is>
      </c>
      <c r="F36" s="15" t="inlineStr">
        <is>
          <t>Con margen de seguridad 20%</t>
        </is>
      </c>
    </row>
    <row r="37">
      <c r="A37" s="12" t="inlineStr">
        <is>
          <t>11</t>
        </is>
      </c>
      <c r="B37" s="13" t="inlineStr">
        <is>
          <t>Potencia del inversor</t>
        </is>
      </c>
      <c r="C37" s="14">
        <f>MAX(D5:D22)*1.25</f>
        <v/>
      </c>
      <c r="D37" s="5" t="inlineStr">
        <is>
          <t>W</t>
        </is>
      </c>
      <c r="F37" s="15" t="inlineStr">
        <is>
          <t>Pico de potencia + 25% margen</t>
        </is>
      </c>
    </row>
    <row r="38">
      <c r="A38" s="17" t="inlineStr">
        <is>
          <t>RESUMEN DE COMPONENTES REQUERIDOS</t>
        </is>
      </c>
    </row>
    <row r="39">
      <c r="A39" s="18" t="inlineStr">
        <is>
          <t>COMPONENTE</t>
        </is>
      </c>
      <c r="C39" s="18" t="inlineStr">
        <is>
          <t>ESPECIFICACIÓN MÍNIMA</t>
        </is>
      </c>
    </row>
    <row r="40">
      <c r="A40" s="19" t="inlineStr">
        <is>
          <t>Paneles Solares</t>
        </is>
      </c>
      <c r="C40" s="4">
        <f>ROUND(C37/400,0)&amp;" paneles de 400Wp"</f>
        <v/>
      </c>
    </row>
    <row r="41">
      <c r="A41" s="19" t="inlineStr">
        <is>
          <t>Inversor Híbrido</t>
        </is>
      </c>
      <c r="C41" s="4">
        <f>ROUND(C38/1000,1)&amp;" kW (48V)"</f>
        <v/>
      </c>
    </row>
    <row r="42">
      <c r="A42" s="19" t="inlineStr">
        <is>
          <t>Banco de Baterías</t>
        </is>
      </c>
      <c r="C42" s="4">
        <f>ROUND(C32,0)&amp;" Ah (48V)"</f>
        <v/>
      </c>
    </row>
    <row r="43">
      <c r="A43" s="19" t="inlineStr">
        <is>
          <t>Controlador de Carga</t>
        </is>
      </c>
      <c r="C43" s="4">
        <f>ROUND(C37/48*1.25,0)&amp;" A"</f>
        <v/>
      </c>
    </row>
    <row r="44">
      <c r="A44" s="19" t="inlineStr">
        <is>
          <t>Cableado</t>
        </is>
      </c>
      <c r="C44" s="4" t="inlineStr">
        <is>
          <t>Según corriente máxima</t>
        </is>
      </c>
    </row>
    <row r="45">
      <c r="A45" s="19" t="inlineStr">
        <is>
          <t>Protecciones</t>
        </is>
      </c>
      <c r="C45" s="4" t="inlineStr">
        <is>
          <t>Breakers y fusibles</t>
        </is>
      </c>
    </row>
    <row r="46">
      <c r="A46" s="20" t="inlineStr">
        <is>
          <t>NOTAS IMPORTANTES</t>
        </is>
      </c>
    </row>
    <row r="47">
      <c r="A47" s="21" t="inlineStr">
        <is>
          <t>• Ajustar las horas de uso según el consumo real de su hogar</t>
        </is>
      </c>
    </row>
    <row r="48">
      <c r="A48" s="21" t="inlineStr">
        <is>
          <t>• Las Horas Sol Pico (HSP) varían según la ubicación geográfica</t>
        </is>
      </c>
    </row>
    <row r="49">
      <c r="A49" s="21" t="inlineStr">
        <is>
          <t>• El factor de uso refleja que algunos equipos no operan a potencia máxima continuamente</t>
        </is>
      </c>
    </row>
    <row r="50">
      <c r="A50" s="21" t="inlineStr">
        <is>
          <t>• Se recomienda un estudio profesional para dimensionamiento final</t>
        </is>
      </c>
    </row>
    <row r="51">
      <c r="A51" s="21" t="inlineStr">
        <is>
          <t>• Considerar expansión futura al dimensionar el sistema</t>
        </is>
      </c>
    </row>
    <row r="52">
      <c r="A52" s="21" t="inlineStr">
        <is>
          <t>• La ducha eléctrica es el mayor consumidor - considerar alternativas (solar térmico/gas)</t>
        </is>
      </c>
    </row>
  </sheetData>
  <mergeCells count="26">
    <mergeCell ref="A48:H48"/>
    <mergeCell ref="C41:H41"/>
    <mergeCell ref="C44:H44"/>
    <mergeCell ref="C40:H40"/>
    <mergeCell ref="A51:H51"/>
    <mergeCell ref="A45:B45"/>
    <mergeCell ref="A49:H49"/>
    <mergeCell ref="C43:H43"/>
    <mergeCell ref="A1:H1"/>
    <mergeCell ref="A25:H25"/>
    <mergeCell ref="A41:B41"/>
    <mergeCell ref="C39:H39"/>
    <mergeCell ref="A46:H46"/>
    <mergeCell ref="A50:H50"/>
    <mergeCell ref="A2:H2"/>
    <mergeCell ref="A42:B42"/>
    <mergeCell ref="A23:E23"/>
    <mergeCell ref="A47:H47"/>
    <mergeCell ref="C42:H42"/>
    <mergeCell ref="A43:B43"/>
    <mergeCell ref="A38:H38"/>
    <mergeCell ref="A52:H52"/>
    <mergeCell ref="C45:H45"/>
    <mergeCell ref="A44:B44"/>
    <mergeCell ref="A40:B40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2025-12-11T20:02:23Z</dcterms:created>
  <dcterms:modified xsi:type="dcterms:W3CDTF">2025-12-11T20:02:23Z</dcterms:modified>
</cp:coreProperties>
</file>