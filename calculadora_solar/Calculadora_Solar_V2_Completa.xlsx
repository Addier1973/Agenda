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$#,##0"/>
  </numFmts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0000"/>
      <sz val="10"/>
    </font>
    <font>
      <b val="1"/>
      <color rgb="00FFFFFF"/>
      <sz val="11"/>
    </font>
    <font>
      <b val="1"/>
      <color rgb="000070C0"/>
    </font>
    <font>
      <i val="1"/>
      <sz val="9"/>
    </font>
    <font>
      <b val="1"/>
      <color rgb="00FFFFFF"/>
      <sz val="12"/>
    </font>
    <font>
      <b val="1"/>
      <color rgb="00FFFFFF"/>
    </font>
    <font>
      <b val="1"/>
    </font>
    <font>
      <b val="1"/>
      <sz val="11"/>
    </font>
    <font>
      <b val="1"/>
      <color rgb="000070C0"/>
      <sz val="11"/>
    </font>
    <font>
      <b val="1"/>
      <color rgb="00FFFFFF"/>
      <sz val="13"/>
    </font>
    <font>
      <b val="1"/>
      <color rgb="00FFFFFF"/>
      <sz val="9"/>
    </font>
    <font>
      <sz val="9"/>
    </font>
    <font>
      <b val="1"/>
      <i val="1"/>
      <color rgb="00F57C00"/>
      <sz val="10"/>
    </font>
    <font>
      <sz val="10"/>
    </font>
    <font>
      <i val="1"/>
      <sz val="10"/>
    </font>
  </fonts>
  <fills count="17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B3E5FC"/>
        <bgColor rgb="00B3E5FC"/>
      </patternFill>
    </fill>
    <fill>
      <patternFill patternType="solid">
        <fgColor rgb="00FFF9C4"/>
        <bgColor rgb="00FFF9C4"/>
      </patternFill>
    </fill>
    <fill>
      <patternFill patternType="solid">
        <fgColor rgb="00F57C00"/>
        <bgColor rgb="00F57C00"/>
      </patternFill>
    </fill>
    <fill>
      <patternFill patternType="solid">
        <fgColor rgb="00FFF3E0"/>
        <bgColor rgb="00FFF3E0"/>
      </patternFill>
    </fill>
    <fill>
      <patternFill patternType="solid">
        <fgColor rgb="004CAF50"/>
        <bgColor rgb="004CAF50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164" fontId="4" fillId="5" borderId="1" applyAlignment="1" pivotButton="0" quotePrefix="0" xfId="0">
      <alignment horizontal="center"/>
    </xf>
    <xf numFmtId="0" fontId="5" fillId="0" borderId="1" pivotButton="0" quotePrefix="0" xfId="0"/>
    <xf numFmtId="0" fontId="6" fillId="6" borderId="1" applyAlignment="1" pivotButton="0" quotePrefix="0" xfId="0">
      <alignment horizontal="center"/>
    </xf>
    <xf numFmtId="2" fontId="6" fillId="6" borderId="1" applyAlignment="1" pivotButton="0" quotePrefix="0" xfId="0">
      <alignment horizontal="right"/>
    </xf>
    <xf numFmtId="0" fontId="0" fillId="6" borderId="1" pivotButton="0" quotePrefix="0" xfId="0"/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2" fontId="4" fillId="5" borderId="1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2" fontId="9" fillId="8" borderId="1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7" fillId="9" borderId="1" applyAlignment="1" pivotButton="0" quotePrefix="0" xfId="0">
      <alignment horizontal="center" wrapText="1"/>
    </xf>
    <xf numFmtId="1" fontId="0" fillId="0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65" fontId="0" fillId="10" borderId="1" applyAlignment="1" pivotButton="0" quotePrefix="0" xfId="0">
      <alignment horizontal="right"/>
    </xf>
    <xf numFmtId="0" fontId="9" fillId="11" borderId="1" applyAlignment="1" pivotButton="0" quotePrefix="0" xfId="0">
      <alignment horizontal="right"/>
    </xf>
    <xf numFmtId="165" fontId="9" fillId="11" borderId="1" applyAlignment="1" pivotButton="0" quotePrefix="0" xfId="0">
      <alignment horizontal="right"/>
    </xf>
    <xf numFmtId="0" fontId="9" fillId="12" borderId="1" applyAlignment="1" pivotButton="0" quotePrefix="0" xfId="0">
      <alignment horizontal="right"/>
    </xf>
    <xf numFmtId="165" fontId="10" fillId="5" borderId="1" applyAlignment="1" pivotButton="0" quotePrefix="0" xfId="0">
      <alignment horizontal="right"/>
    </xf>
    <xf numFmtId="0" fontId="11" fillId="9" borderId="1" applyAlignment="1" pivotButton="0" quotePrefix="0" xfId="0">
      <alignment horizontal="right"/>
    </xf>
    <xf numFmtId="165" fontId="11" fillId="9" borderId="1" applyAlignment="1" pivotButton="0" quotePrefix="0" xfId="0">
      <alignment horizontal="right"/>
    </xf>
    <xf numFmtId="0" fontId="3" fillId="13" borderId="0" applyAlignment="1" pivotButton="0" quotePrefix="0" xfId="0">
      <alignment horizontal="center"/>
    </xf>
    <xf numFmtId="0" fontId="12" fillId="13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/>
    </xf>
    <xf numFmtId="166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14" fillId="14" borderId="1" applyAlignment="1" pivotButton="0" quotePrefix="0" xfId="0">
      <alignment horizontal="left" wrapText="1"/>
    </xf>
    <xf numFmtId="0" fontId="3" fillId="15" borderId="0" applyAlignment="1" pivotButton="0" quotePrefix="0" xfId="0">
      <alignment horizontal="center"/>
    </xf>
    <xf numFmtId="0" fontId="15" fillId="0" borderId="1" applyAlignment="1" pivotButton="0" quotePrefix="0" xfId="0">
      <alignment horizontal="left" wrapText="1"/>
    </xf>
    <xf numFmtId="0" fontId="16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2" customWidth="1" min="4" max="4"/>
    <col width="12" customWidth="1" min="5" max="5"/>
    <col width="18" customWidth="1" min="6" max="6"/>
    <col width="8" customWidth="1" min="7" max="7"/>
    <col width="15" customWidth="1" min="8" max="8"/>
    <col width="28" customWidth="1" min="9" max="9"/>
  </cols>
  <sheetData>
    <row r="1" ht="25" customHeight="1">
      <c r="A1" s="1" t="inlineStr">
        <is>
          <t>CALCULADORA DE AUTOCONSUMO SOLAR - VERSIÓN COMPLETA</t>
        </is>
      </c>
    </row>
    <row r="2">
      <c r="A2" s="2" t="inlineStr">
        <is>
          <t>EDITE LAS CELDAS AMARILLAS - Los cálculos se actualizan automáticamente</t>
        </is>
      </c>
    </row>
    <row r="4" ht="30" customHeight="1">
      <c r="A4" s="3" t="inlineStr">
        <is>
          <t>N°</t>
        </is>
      </c>
      <c r="B4" s="3" t="inlineStr">
        <is>
          <t>EQUIPO/APARATO</t>
        </is>
      </c>
      <c r="C4" s="3" t="inlineStr">
        <is>
          <t>CANT.</t>
        </is>
      </c>
      <c r="D4" s="3" t="inlineStr">
        <is>
          <t>POT.(W)</t>
        </is>
      </c>
      <c r="E4" s="3" t="inlineStr">
        <is>
          <t>H/DÍA</t>
        </is>
      </c>
      <c r="F4" s="3" t="inlineStr">
        <is>
          <t>CONSUMO(Wh)</t>
        </is>
      </c>
      <c r="G4" s="3" t="inlineStr">
        <is>
          <t>FACTOR</t>
        </is>
      </c>
      <c r="H4" s="3" t="inlineStr">
        <is>
          <t>CONSUMO REAL(Wh)</t>
        </is>
      </c>
      <c r="I4" s="3" t="inlineStr">
        <is>
          <t>NOTAS</t>
        </is>
      </c>
    </row>
    <row r="5">
      <c r="A5" s="4" t="n">
        <v>1</v>
      </c>
      <c r="B5" s="5" t="inlineStr">
        <is>
          <t>Cocina eléctrica</t>
        </is>
      </c>
      <c r="C5" s="6" t="n">
        <v>1</v>
      </c>
      <c r="D5" s="6" t="n">
        <v>2000</v>
      </c>
      <c r="E5" s="6" t="n">
        <v>1.5</v>
      </c>
      <c r="F5" s="7">
        <f>C5*D5*E5</f>
        <v/>
      </c>
      <c r="G5" s="8" t="n">
        <v>0.7</v>
      </c>
      <c r="H5" s="7">
        <f>F5*G5</f>
        <v/>
      </c>
      <c r="I5" s="9" t="inlineStr">
        <is>
          <t>Alto consumo puntual</t>
        </is>
      </c>
    </row>
    <row r="6">
      <c r="A6" s="4" t="n">
        <v>2</v>
      </c>
      <c r="B6" s="5" t="inlineStr">
        <is>
          <t>Olla multipropósito</t>
        </is>
      </c>
      <c r="C6" s="6" t="n">
        <v>1</v>
      </c>
      <c r="D6" s="6" t="n">
        <v>1000</v>
      </c>
      <c r="E6" s="6" t="n">
        <v>1</v>
      </c>
      <c r="F6" s="7">
        <f>C6*D6*E6</f>
        <v/>
      </c>
      <c r="G6" s="8" t="n">
        <v>0.8</v>
      </c>
      <c r="H6" s="7">
        <f>F6*G6</f>
        <v/>
      </c>
      <c r="I6" s="9" t="inlineStr">
        <is>
          <t>Uso moderado</t>
        </is>
      </c>
    </row>
    <row r="7">
      <c r="A7" s="4" t="n">
        <v>3</v>
      </c>
      <c r="B7" s="5" t="inlineStr">
        <is>
          <t>Cocina de inducción</t>
        </is>
      </c>
      <c r="C7" s="6" t="n">
        <v>1</v>
      </c>
      <c r="D7" s="6" t="n">
        <v>1800</v>
      </c>
      <c r="E7" s="6" t="n">
        <v>1</v>
      </c>
      <c r="F7" s="7">
        <f>C7*D7*E7</f>
        <v/>
      </c>
      <c r="G7" s="8" t="n">
        <v>0.7</v>
      </c>
      <c r="H7" s="7">
        <f>F7*G7</f>
        <v/>
      </c>
      <c r="I7" s="9" t="inlineStr">
        <is>
          <t>Alto consumo puntual</t>
        </is>
      </c>
    </row>
    <row r="8">
      <c r="A8" s="4" t="n">
        <v>4</v>
      </c>
      <c r="B8" s="5" t="inlineStr">
        <is>
          <t>Refrigerador</t>
        </is>
      </c>
      <c r="C8" s="6" t="n">
        <v>1</v>
      </c>
      <c r="D8" s="6" t="n">
        <v>150</v>
      </c>
      <c r="E8" s="6" t="n">
        <v>24</v>
      </c>
      <c r="F8" s="7">
        <f>C8*D8*E8</f>
        <v/>
      </c>
      <c r="G8" s="8" t="n">
        <v>0.4</v>
      </c>
      <c r="H8" s="7">
        <f>F8*G8</f>
        <v/>
      </c>
      <c r="I8" s="9" t="inlineStr">
        <is>
          <t>Ciclo on/off 40%</t>
        </is>
      </c>
    </row>
    <row r="9">
      <c r="A9" s="4" t="n">
        <v>5</v>
      </c>
      <c r="B9" s="5" t="inlineStr">
        <is>
          <t>Nevera</t>
        </is>
      </c>
      <c r="C9" s="6" t="n">
        <v>1</v>
      </c>
      <c r="D9" s="6" t="n">
        <v>120</v>
      </c>
      <c r="E9" s="6" t="n">
        <v>24</v>
      </c>
      <c r="F9" s="7">
        <f>C9*D9*E9</f>
        <v/>
      </c>
      <c r="G9" s="8" t="n">
        <v>0.4</v>
      </c>
      <c r="H9" s="7">
        <f>F9*G9</f>
        <v/>
      </c>
      <c r="I9" s="9" t="inlineStr">
        <is>
          <t>Ciclo on/off 40%</t>
        </is>
      </c>
    </row>
    <row r="10">
      <c r="A10" s="4" t="n">
        <v>6</v>
      </c>
      <c r="B10" s="5" t="inlineStr">
        <is>
          <t>Horno de aire</t>
        </is>
      </c>
      <c r="C10" s="6" t="n">
        <v>1</v>
      </c>
      <c r="D10" s="6" t="n">
        <v>1500</v>
      </c>
      <c r="E10" s="6" t="n">
        <v>0.5</v>
      </c>
      <c r="F10" s="7">
        <f>C10*D10*E10</f>
        <v/>
      </c>
      <c r="G10" s="8" t="n">
        <v>0.8</v>
      </c>
      <c r="H10" s="7">
        <f>F10*G10</f>
        <v/>
      </c>
      <c r="I10" s="9" t="inlineStr">
        <is>
          <t>Uso ocasional</t>
        </is>
      </c>
    </row>
    <row r="11">
      <c r="A11" s="4" t="n">
        <v>7</v>
      </c>
      <c r="B11" s="5" t="inlineStr">
        <is>
          <t>Batidora</t>
        </is>
      </c>
      <c r="C11" s="6" t="n">
        <v>1</v>
      </c>
      <c r="D11" s="6" t="n">
        <v>300</v>
      </c>
      <c r="E11" s="6" t="n">
        <v>0.3</v>
      </c>
      <c r="F11" s="7">
        <f>C11*D11*E11</f>
        <v/>
      </c>
      <c r="G11" s="8" t="n">
        <v>1</v>
      </c>
      <c r="H11" s="7">
        <f>F11*G11</f>
        <v/>
      </c>
      <c r="I11" s="9" t="inlineStr">
        <is>
          <t>Uso breve</t>
        </is>
      </c>
    </row>
    <row r="12">
      <c r="A12" s="4" t="n">
        <v>8</v>
      </c>
      <c r="B12" s="5" t="inlineStr">
        <is>
          <t>Microondas</t>
        </is>
      </c>
      <c r="C12" s="6" t="n">
        <v>1</v>
      </c>
      <c r="D12" s="6" t="n">
        <v>1200</v>
      </c>
      <c r="E12" s="6" t="n">
        <v>0.5</v>
      </c>
      <c r="F12" s="7">
        <f>C12*D12*E12</f>
        <v/>
      </c>
      <c r="G12" s="8" t="n">
        <v>0.8</v>
      </c>
      <c r="H12" s="7">
        <f>F12*G12</f>
        <v/>
      </c>
      <c r="I12" s="9" t="inlineStr">
        <is>
          <t>Uso breve</t>
        </is>
      </c>
    </row>
    <row r="13">
      <c r="A13" s="4" t="n">
        <v>9</v>
      </c>
      <c r="B13" s="5" t="inlineStr">
        <is>
          <t>Lavadora</t>
        </is>
      </c>
      <c r="C13" s="6" t="n">
        <v>1</v>
      </c>
      <c r="D13" s="6" t="n">
        <v>400</v>
      </c>
      <c r="E13" s="6" t="n">
        <v>1</v>
      </c>
      <c r="F13" s="7">
        <f>C13*D13*E13</f>
        <v/>
      </c>
      <c r="G13" s="8" t="n">
        <v>0.8</v>
      </c>
      <c r="H13" s="7">
        <f>F13*G13</f>
        <v/>
      </c>
      <c r="I13" s="9" t="inlineStr">
        <is>
          <t>Uso diario</t>
        </is>
      </c>
    </row>
    <row r="14">
      <c r="A14" s="4" t="n">
        <v>10</v>
      </c>
      <c r="B14" s="5" t="inlineStr">
        <is>
          <t>Ducha eléctrica</t>
        </is>
      </c>
      <c r="C14" s="6" t="n">
        <v>1</v>
      </c>
      <c r="D14" s="6" t="n">
        <v>4500</v>
      </c>
      <c r="E14" s="6" t="n">
        <v>0.5</v>
      </c>
      <c r="F14" s="7">
        <f>C14*D14*E14</f>
        <v/>
      </c>
      <c r="G14" s="8" t="n">
        <v>1</v>
      </c>
      <c r="H14" s="7">
        <f>F14*G14</f>
        <v/>
      </c>
      <c r="I14" s="9" t="inlineStr">
        <is>
          <t>MAYOR CONSUMIDOR</t>
        </is>
      </c>
    </row>
    <row r="15">
      <c r="A15" s="4" t="n">
        <v>11</v>
      </c>
      <c r="B15" s="5" t="inlineStr">
        <is>
          <t>TV 55"</t>
        </is>
      </c>
      <c r="C15" s="6" t="n">
        <v>1</v>
      </c>
      <c r="D15" s="6" t="n">
        <v>120</v>
      </c>
      <c r="E15" s="6" t="n">
        <v>6</v>
      </c>
      <c r="F15" s="7">
        <f>C15*D15*E15</f>
        <v/>
      </c>
      <c r="G15" s="8" t="n">
        <v>1</v>
      </c>
      <c r="H15" s="7">
        <f>F15*G15</f>
        <v/>
      </c>
      <c r="I15" s="9" t="inlineStr">
        <is>
          <t>Entretenimiento</t>
        </is>
      </c>
    </row>
    <row r="16">
      <c r="A16" s="4" t="n">
        <v>12</v>
      </c>
      <c r="B16" s="5" t="inlineStr">
        <is>
          <t>Ventiladores</t>
        </is>
      </c>
      <c r="C16" s="6" t="n">
        <v>4</v>
      </c>
      <c r="D16" s="6" t="n">
        <v>60</v>
      </c>
      <c r="E16" s="6" t="n">
        <v>8</v>
      </c>
      <c r="F16" s="7">
        <f>C16*D16*E16</f>
        <v/>
      </c>
      <c r="G16" s="8" t="n">
        <v>1</v>
      </c>
      <c r="H16" s="7">
        <f>F16*G16</f>
        <v/>
      </c>
      <c r="I16" s="9" t="inlineStr">
        <is>
          <t>4 unidades</t>
        </is>
      </c>
    </row>
    <row r="17">
      <c r="A17" s="4" t="n">
        <v>13</v>
      </c>
      <c r="B17" s="5" t="inlineStr">
        <is>
          <t>Lámparas LED</t>
        </is>
      </c>
      <c r="C17" s="6" t="n">
        <v>15</v>
      </c>
      <c r="D17" s="6" t="n">
        <v>10</v>
      </c>
      <c r="E17" s="6" t="n">
        <v>5</v>
      </c>
      <c r="F17" s="7">
        <f>C17*D17*E17</f>
        <v/>
      </c>
      <c r="G17" s="8" t="n">
        <v>1</v>
      </c>
      <c r="H17" s="7">
        <f>F17*G17</f>
        <v/>
      </c>
      <c r="I17" s="9" t="inlineStr">
        <is>
          <t>15 unidades</t>
        </is>
      </c>
    </row>
    <row r="18">
      <c r="A18" s="4" t="n">
        <v>14</v>
      </c>
      <c r="B18" s="5" t="inlineStr">
        <is>
          <t>Split (A/C)</t>
        </is>
      </c>
      <c r="C18" s="6" t="n">
        <v>1</v>
      </c>
      <c r="D18" s="6" t="n">
        <v>1200</v>
      </c>
      <c r="E18" s="6" t="n">
        <v>6</v>
      </c>
      <c r="F18" s="7">
        <f>C18*D18*E18</f>
        <v/>
      </c>
      <c r="G18" s="8" t="n">
        <v>0.7</v>
      </c>
      <c r="H18" s="7">
        <f>F18*G18</f>
        <v/>
      </c>
      <c r="I18" s="9" t="inlineStr">
        <is>
          <t>ALTO CONSUMO 25.6%</t>
        </is>
      </c>
    </row>
    <row r="19">
      <c r="A19" s="4" t="n">
        <v>15</v>
      </c>
      <c r="B19" s="5" t="inlineStr">
        <is>
          <t>Carg. teléfonos</t>
        </is>
      </c>
      <c r="C19" s="6" t="n">
        <v>2</v>
      </c>
      <c r="D19" s="6" t="n">
        <v>10</v>
      </c>
      <c r="E19" s="6" t="n">
        <v>3</v>
      </c>
      <c r="F19" s="7">
        <f>C19*D19*E19</f>
        <v/>
      </c>
      <c r="G19" s="8" t="n">
        <v>1</v>
      </c>
      <c r="H19" s="7">
        <f>F19*G19</f>
        <v/>
      </c>
      <c r="I19" s="9" t="inlineStr">
        <is>
          <t>Bajo consumo</t>
        </is>
      </c>
    </row>
    <row r="20">
      <c r="A20" s="4" t="n">
        <v>16</v>
      </c>
      <c r="B20" s="5" t="inlineStr">
        <is>
          <t>Carg. motosierra</t>
        </is>
      </c>
      <c r="C20" s="6" t="n">
        <v>1</v>
      </c>
      <c r="D20" s="6" t="n">
        <v>80</v>
      </c>
      <c r="E20" s="6" t="n">
        <v>2</v>
      </c>
      <c r="F20" s="7">
        <f>C20*D20*E20</f>
        <v/>
      </c>
      <c r="G20" s="8" t="n">
        <v>1</v>
      </c>
      <c r="H20" s="7">
        <f>F20*G20</f>
        <v/>
      </c>
      <c r="I20" s="9" t="inlineStr">
        <is>
          <t>Ocasional</t>
        </is>
      </c>
    </row>
    <row r="21">
      <c r="A21" s="4" t="n">
        <v>17</v>
      </c>
      <c r="B21" s="5" t="inlineStr">
        <is>
          <t>Radio</t>
        </is>
      </c>
      <c r="C21" s="6" t="n">
        <v>1</v>
      </c>
      <c r="D21" s="6" t="n">
        <v>15</v>
      </c>
      <c r="E21" s="6" t="n">
        <v>4</v>
      </c>
      <c r="F21" s="7">
        <f>C21*D21*E21</f>
        <v/>
      </c>
      <c r="G21" s="8" t="n">
        <v>1</v>
      </c>
      <c r="H21" s="7">
        <f>F21*G21</f>
        <v/>
      </c>
      <c r="I21" s="9" t="inlineStr">
        <is>
          <t>Bajo consumo</t>
        </is>
      </c>
    </row>
    <row r="22">
      <c r="A22" s="4" t="n">
        <v>18</v>
      </c>
      <c r="B22" s="5" t="inlineStr">
        <is>
          <t>Teatro casa</t>
        </is>
      </c>
      <c r="C22" s="6" t="n">
        <v>1</v>
      </c>
      <c r="D22" s="6" t="n">
        <v>150</v>
      </c>
      <c r="E22" s="6" t="n">
        <v>3</v>
      </c>
      <c r="F22" s="7">
        <f>C22*D22*E22</f>
        <v/>
      </c>
      <c r="G22" s="8" t="n">
        <v>1</v>
      </c>
      <c r="H22" s="7">
        <f>F22*G22</f>
        <v/>
      </c>
      <c r="I22" s="9" t="inlineStr">
        <is>
          <t>Entretenimiento</t>
        </is>
      </c>
    </row>
    <row r="23">
      <c r="A23" s="10" t="inlineStr">
        <is>
          <t>TOTAL CONSUMO DIARIO</t>
        </is>
      </c>
      <c r="F23" s="11">
        <f>SUM(F5:F22)</f>
        <v/>
      </c>
      <c r="G23" s="12" t="n"/>
      <c r="H23" s="11">
        <f>SUM(H5:H22)</f>
        <v/>
      </c>
      <c r="I23" s="12" t="n"/>
    </row>
    <row r="25">
      <c r="A25" s="13" t="inlineStr">
        <is>
          <t>PARÁMETROS DEL SISTEMA (Edite valores amarillos)</t>
        </is>
      </c>
    </row>
    <row r="26">
      <c r="B26" s="14" t="inlineStr">
        <is>
          <t>PARÁMETRO</t>
        </is>
      </c>
      <c r="D26" s="4" t="inlineStr">
        <is>
          <t>VALOR</t>
        </is>
      </c>
      <c r="E26" s="4" t="inlineStr">
        <is>
          <t>UNIDAD</t>
        </is>
      </c>
      <c r="F26" s="9" t="inlineStr">
        <is>
          <t>DESCRIPCIÓN</t>
        </is>
      </c>
    </row>
    <row r="27">
      <c r="B27" s="15" t="inlineStr">
        <is>
          <t>Voltaje del sistema</t>
        </is>
      </c>
      <c r="D27" s="6" t="n">
        <v>48</v>
      </c>
      <c r="E27" s="4" t="inlineStr">
        <is>
          <t>V</t>
        </is>
      </c>
      <c r="F27" s="9" t="inlineStr">
        <is>
          <t>Sistema 48V (no cambiar)</t>
        </is>
      </c>
    </row>
    <row r="28">
      <c r="B28" s="15" t="inlineStr">
        <is>
          <t>Días de autonomía</t>
        </is>
      </c>
      <c r="D28" s="6" t="n">
        <v>1</v>
      </c>
      <c r="E28" s="4" t="inlineStr">
        <is>
          <t>días</t>
        </is>
      </c>
      <c r="F28" s="9" t="inlineStr">
        <is>
          <t>Reserva del banco de baterías</t>
        </is>
      </c>
    </row>
    <row r="29">
      <c r="B29" s="15" t="inlineStr">
        <is>
          <t>Tipo de batería</t>
        </is>
      </c>
      <c r="D29" s="6" t="inlineStr">
        <is>
          <t>Litio</t>
        </is>
      </c>
      <c r="E29" s="4" t="inlineStr"/>
      <c r="F29" s="9" t="inlineStr">
        <is>
          <t>Opciones: Plomo-ácido/AGM/Gel/Litio</t>
        </is>
      </c>
    </row>
    <row r="30">
      <c r="B30" s="15" t="inlineStr">
        <is>
          <t>Profundidad descarga</t>
        </is>
      </c>
      <c r="D30" s="16" t="n">
        <v>0.8</v>
      </c>
      <c r="E30" s="4" t="inlineStr"/>
      <c r="F30" s="9" t="inlineStr">
        <is>
          <t>Plomo:0.5 | AGM:0.6 | Gel:0.7 | Litio:0.8</t>
        </is>
      </c>
    </row>
    <row r="31">
      <c r="B31" s="15" t="inlineStr">
        <is>
          <t>Eficiencia inversor</t>
        </is>
      </c>
      <c r="D31" s="16" t="n">
        <v>0.9</v>
      </c>
      <c r="E31" s="4" t="inlineStr"/>
      <c r="F31" s="9" t="inlineStr">
        <is>
          <t>90% eficiencia típica</t>
        </is>
      </c>
    </row>
    <row r="32">
      <c r="B32" s="15" t="inlineStr">
        <is>
          <t>Horas Sol Pico (HSP)</t>
        </is>
      </c>
      <c r="D32" s="6" t="n">
        <v>5</v>
      </c>
      <c r="E32" s="4" t="inlineStr">
        <is>
          <t>horas</t>
        </is>
      </c>
      <c r="F32" s="9" t="inlineStr">
        <is>
          <t>Rep. Dominicana: 4.5-5.5</t>
        </is>
      </c>
    </row>
    <row r="33">
      <c r="B33" s="15" t="inlineStr">
        <is>
          <t>Factor pérdidas</t>
        </is>
      </c>
      <c r="D33" s="16" t="n">
        <v>0.75</v>
      </c>
      <c r="E33" s="4" t="inlineStr"/>
      <c r="F33" s="9" t="inlineStr">
        <is>
          <t>75% útil (25% pérdidas cables/temp)</t>
        </is>
      </c>
    </row>
    <row r="34">
      <c r="A34" s="17" t="inlineStr">
        <is>
          <t>DIMENSIONAMIENTO CALCULADO AUTOMÁTICAMENTE</t>
        </is>
      </c>
    </row>
    <row r="35">
      <c r="B35" s="18" t="inlineStr">
        <is>
          <t>CÁLCULO</t>
        </is>
      </c>
      <c r="D35" s="4" t="inlineStr">
        <is>
          <t>RESULTADO</t>
        </is>
      </c>
      <c r="E35" s="4" t="inlineStr">
        <is>
          <t>UNIDAD</t>
        </is>
      </c>
      <c r="F35" s="9" t="inlineStr">
        <is>
          <t>FÓRMULA</t>
        </is>
      </c>
    </row>
    <row r="36">
      <c r="B36" s="15" t="inlineStr">
        <is>
          <t>Consumo diario real</t>
        </is>
      </c>
      <c r="D36" s="19">
        <f>H23</f>
        <v/>
      </c>
      <c r="E36" s="4" t="inlineStr">
        <is>
          <t>Wh/día</t>
        </is>
      </c>
      <c r="F36" s="9" t="inlineStr">
        <is>
          <t>Suma de consumos con factor de uso</t>
        </is>
      </c>
    </row>
    <row r="37">
      <c r="B37" s="15" t="inlineStr">
        <is>
          <t>Consumo ajustado inv.</t>
        </is>
      </c>
      <c r="D37" s="19">
        <f>H23/D31</f>
        <v/>
      </c>
      <c r="E37" s="4" t="inlineStr">
        <is>
          <t>Wh/día</t>
        </is>
      </c>
      <c r="F37" s="9" t="inlineStr">
        <is>
          <t>Consumo / Eficiencia inversor</t>
        </is>
      </c>
    </row>
    <row r="38">
      <c r="B38" s="15" t="inlineStr">
        <is>
          <t>Capacidad banco (Wh)</t>
        </is>
      </c>
      <c r="D38" s="19">
        <f>(H23*D28)/D30</f>
        <v/>
      </c>
      <c r="E38" s="4" t="inlineStr">
        <is>
          <t>Wh</t>
        </is>
      </c>
      <c r="F38" s="9" t="inlineStr">
        <is>
          <t>Consumo × Días / Prof. descarga</t>
        </is>
      </c>
    </row>
    <row r="39">
      <c r="B39" s="15" t="inlineStr">
        <is>
          <t>Capacidad banco (Ah)</t>
        </is>
      </c>
      <c r="D39" s="19">
        <f>D38/D27</f>
        <v/>
      </c>
      <c r="E39" s="4" t="inlineStr">
        <is>
          <t>Ah @ 48V</t>
        </is>
      </c>
      <c r="F39" s="9" t="inlineStr">
        <is>
          <t>Capacidad Wh / Voltaje sistema</t>
        </is>
      </c>
    </row>
    <row r="40">
      <c r="B40" s="15" t="inlineStr">
        <is>
          <t>Potencia paneles FV</t>
        </is>
      </c>
      <c r="D40" s="19">
        <f>D37/D32/D33</f>
        <v/>
      </c>
      <c r="E40" s="4" t="inlineStr">
        <is>
          <t>Wp</t>
        </is>
      </c>
      <c r="F40" s="9" t="inlineStr">
        <is>
          <t>Consumo / HSP / Factor pérdidas</t>
        </is>
      </c>
    </row>
    <row r="41">
      <c r="B41" s="15" t="inlineStr">
        <is>
          <t>Potencia recomendada</t>
        </is>
      </c>
      <c r="D41" s="19">
        <f>D40*1.2</f>
        <v/>
      </c>
      <c r="E41" s="4" t="inlineStr">
        <is>
          <t>Wp</t>
        </is>
      </c>
      <c r="F41" s="9" t="inlineStr">
        <is>
          <t>Con 20% margen de seguridad</t>
        </is>
      </c>
    </row>
    <row r="42">
      <c r="B42" s="15" t="inlineStr">
        <is>
          <t>Cantidad paneles 400W</t>
        </is>
      </c>
      <c r="D42" s="19">
        <f>ROUNDUP(D41/400,0)</f>
        <v/>
      </c>
      <c r="E42" s="4" t="inlineStr">
        <is>
          <t>unidades</t>
        </is>
      </c>
      <c r="F42" s="9" t="inlineStr">
        <is>
          <t>Potencia recomendada / 400Wp</t>
        </is>
      </c>
    </row>
    <row r="43">
      <c r="B43" s="15" t="inlineStr">
        <is>
          <t>Potencia del inversor</t>
        </is>
      </c>
      <c r="D43" s="19">
        <f>MAX(D5:D22)*1.25</f>
        <v/>
      </c>
      <c r="E43" s="4" t="inlineStr">
        <is>
          <t>W</t>
        </is>
      </c>
      <c r="F43" s="9" t="inlineStr">
        <is>
          <t>Pico máximo potencia + 25%</t>
        </is>
      </c>
    </row>
    <row r="44">
      <c r="B44" s="15" t="inlineStr">
        <is>
          <t>Corriente controlador</t>
        </is>
      </c>
      <c r="D44" s="19">
        <f>D41/D27*1.25</f>
        <v/>
      </c>
      <c r="E44" s="4" t="inlineStr">
        <is>
          <t>A</t>
        </is>
      </c>
      <c r="F44" s="9" t="inlineStr">
        <is>
          <t>Para sistema 48V con margen</t>
        </is>
      </c>
    </row>
    <row r="45">
      <c r="A45" s="20" t="inlineStr">
        <is>
          <t>💰 PRESUPUESTO DEL SISTEMA (Edite precios en amarillo)</t>
        </is>
      </c>
    </row>
    <row r="46">
      <c r="B46" s="21" t="inlineStr">
        <is>
          <t>COMPONENTE</t>
        </is>
      </c>
      <c r="C46" s="21" t="inlineStr">
        <is>
          <t>CANTIDAD</t>
        </is>
      </c>
      <c r="D46" s="21" t="inlineStr">
        <is>
          <t>PRECIO UNIT.</t>
        </is>
      </c>
      <c r="E46" s="21" t="inlineStr">
        <is>
          <t>SUBTOTAL</t>
        </is>
      </c>
      <c r="F46" s="21" t="inlineStr">
        <is>
          <t>NOTAS/ESPECIFICACIÓN</t>
        </is>
      </c>
    </row>
    <row r="47">
      <c r="B47" s="15" t="inlineStr">
        <is>
          <t>Paneles Solares 400W</t>
        </is>
      </c>
      <c r="C47" s="22">
        <f>D42</f>
        <v/>
      </c>
      <c r="D47" s="23" t="n">
        <v>175</v>
      </c>
      <c r="E47" s="24">
        <f>C47*D47</f>
        <v/>
      </c>
      <c r="F47" s="9" t="inlineStr">
        <is>
          <t>Monocristalinos alta eficiencia</t>
        </is>
      </c>
    </row>
    <row r="48">
      <c r="B48" s="15" t="inlineStr">
        <is>
          <t>Inversor Híbrido 6kW</t>
        </is>
      </c>
      <c r="C48" s="4" t="n">
        <v>1</v>
      </c>
      <c r="D48" s="23" t="n">
        <v>1500</v>
      </c>
      <c r="E48" s="24">
        <f>C48*D48</f>
        <v/>
      </c>
      <c r="F48" s="9" t="inlineStr">
        <is>
          <t>48V con controlador MPPT integrado</t>
        </is>
      </c>
    </row>
    <row r="49">
      <c r="B49" s="15" t="inlineStr">
        <is>
          <t>Baterías 200Ah (según tipo)</t>
        </is>
      </c>
      <c r="C49" s="22">
        <f>ROUNDUP(D39/200,0)</f>
        <v/>
      </c>
      <c r="D49" s="23" t="n">
        <v>550</v>
      </c>
      <c r="E49" s="24">
        <f>C49*D49</f>
        <v/>
      </c>
      <c r="F49" s="9" t="inlineStr">
        <is>
          <t>Ajustar precio según tipo seleccionado</t>
        </is>
      </c>
    </row>
    <row r="50">
      <c r="B50" s="15" t="inlineStr">
        <is>
          <t>Estructura montaje paneles</t>
        </is>
      </c>
      <c r="C50" s="22">
        <f>D42</f>
        <v/>
      </c>
      <c r="D50" s="23" t="n">
        <v>15</v>
      </c>
      <c r="E50" s="24">
        <f>C50*D50</f>
        <v/>
      </c>
      <c r="F50" s="9" t="inlineStr">
        <is>
          <t>Aluminio con tornillería inox</t>
        </is>
      </c>
    </row>
    <row r="51">
      <c r="B51" s="15" t="inlineStr">
        <is>
          <t>Cable solar DC 10AWG</t>
        </is>
      </c>
      <c r="C51" s="4" t="n">
        <v>1</v>
      </c>
      <c r="D51" s="23" t="n">
        <v>300</v>
      </c>
      <c r="E51" s="24">
        <f>C51*D51</f>
        <v/>
      </c>
      <c r="F51" s="9" t="inlineStr">
        <is>
          <t>50m + conectores MC4</t>
        </is>
      </c>
    </row>
    <row r="52">
      <c r="B52" s="15" t="inlineStr">
        <is>
          <t>Cable AC entrada/salida</t>
        </is>
      </c>
      <c r="C52" s="4" t="n">
        <v>1</v>
      </c>
      <c r="D52" s="23" t="n">
        <v>200</v>
      </c>
      <c r="E52" s="24">
        <f>C52*D52</f>
        <v/>
      </c>
      <c r="F52" s="9" t="inlineStr">
        <is>
          <t>Cable THW calibre apropiado</t>
        </is>
      </c>
    </row>
    <row r="53">
      <c r="B53" s="15" t="inlineStr">
        <is>
          <t>Breakers y fusibles DC</t>
        </is>
      </c>
      <c r="C53" s="4" t="n">
        <v>1</v>
      </c>
      <c r="D53" s="23" t="n">
        <v>150</v>
      </c>
      <c r="E53" s="24">
        <f>C53*D53</f>
        <v/>
      </c>
      <c r="F53" s="9" t="inlineStr">
        <is>
          <t>Para protección paneles/baterías</t>
        </is>
      </c>
    </row>
    <row r="54">
      <c r="B54" s="15" t="inlineStr">
        <is>
          <t>Breakers AC</t>
        </is>
      </c>
      <c r="C54" s="4" t="n">
        <v>1</v>
      </c>
      <c r="D54" s="23" t="n">
        <v>100</v>
      </c>
      <c r="E54" s="24">
        <f>C54*D54</f>
        <v/>
      </c>
      <c r="F54" s="9" t="inlineStr">
        <is>
          <t>Protección entrada/salida</t>
        </is>
      </c>
    </row>
    <row r="55">
      <c r="B55" s="15" t="inlineStr">
        <is>
          <t>Tablero distribución</t>
        </is>
      </c>
      <c r="C55" s="4" t="n">
        <v>1</v>
      </c>
      <c r="D55" s="23" t="n">
        <v>150</v>
      </c>
      <c r="E55" s="24">
        <f>C55*D55</f>
        <v/>
      </c>
      <c r="F55" s="9" t="inlineStr">
        <is>
          <t>Con espacio para breakers</t>
        </is>
      </c>
    </row>
    <row r="56">
      <c r="B56" s="15" t="inlineStr">
        <is>
          <t>Sistema puesta a tierra</t>
        </is>
      </c>
      <c r="C56" s="4" t="n">
        <v>1</v>
      </c>
      <c r="D56" s="23" t="n">
        <v>100</v>
      </c>
      <c r="E56" s="24">
        <f>C56*D56</f>
        <v/>
      </c>
      <c r="F56" s="9" t="inlineStr">
        <is>
          <t>Varillas + cable tierra</t>
        </is>
      </c>
    </row>
    <row r="57">
      <c r="B57" s="15" t="inlineStr">
        <is>
          <t>Canaletas y ductos</t>
        </is>
      </c>
      <c r="C57" s="4" t="n">
        <v>1</v>
      </c>
      <c r="D57" s="23" t="n">
        <v>120</v>
      </c>
      <c r="E57" s="24">
        <f>C57*D57</f>
        <v/>
      </c>
      <c r="F57" s="9" t="inlineStr">
        <is>
          <t>PVC para protección cables</t>
        </is>
      </c>
    </row>
    <row r="58">
      <c r="B58" s="15" t="inlineStr">
        <is>
          <t>Materiales menores</t>
        </is>
      </c>
      <c r="C58" s="4" t="n">
        <v>1</v>
      </c>
      <c r="D58" s="23" t="n">
        <v>180</v>
      </c>
      <c r="E58" s="24">
        <f>C58*D58</f>
        <v/>
      </c>
      <c r="F58" s="9" t="inlineStr">
        <is>
          <t>Conectores, terminales, silicón</t>
        </is>
      </c>
    </row>
    <row r="59">
      <c r="B59" s="25" t="inlineStr">
        <is>
          <t>SUBTOTAL MATERIALES Y COMPONENTES</t>
        </is>
      </c>
      <c r="E59" s="26">
        <f>SUM(E47:E58)</f>
        <v/>
      </c>
    </row>
    <row r="60">
      <c r="B60" s="27" t="inlineStr">
        <is>
          <t>MANO DE OBRA INSTALACIÓN</t>
        </is>
      </c>
      <c r="E60" s="28" t="n">
        <v>2500</v>
      </c>
      <c r="F60" s="9" t="inlineStr">
        <is>
          <t>Incluye: diseño eléctrico, instalación completa, pruebas y puesta en marcha</t>
        </is>
      </c>
    </row>
    <row r="61">
      <c r="B61" s="29" t="inlineStr">
        <is>
          <t>💵 INVERSIÓN TOTAL DEL SISTEMA</t>
        </is>
      </c>
      <c r="E61" s="30">
        <f>E59+E60</f>
        <v/>
      </c>
    </row>
    <row r="63">
      <c r="A63" s="31" t="inlineStr">
        <is>
          <t>🔋 TABLA DE REFERENCIA - TIPOS DE BATERÍAS</t>
        </is>
      </c>
    </row>
    <row r="64">
      <c r="B64" s="32" t="inlineStr">
        <is>
          <t>TIPO</t>
        </is>
      </c>
      <c r="C64" s="32" t="inlineStr">
        <is>
          <t>PROF.DESC.</t>
        </is>
      </c>
      <c r="D64" s="32" t="inlineStr">
        <is>
          <t>VIDA ÚTIL</t>
        </is>
      </c>
      <c r="E64" s="32" t="inlineStr">
        <is>
          <t>PRECIO/200Ah</t>
        </is>
      </c>
      <c r="F64" s="32" t="inlineStr">
        <is>
          <t>VENTAJAS</t>
        </is>
      </c>
      <c r="G64" s="32" t="inlineStr">
        <is>
          <t>DESVENTAJAS</t>
        </is>
      </c>
    </row>
    <row r="65" ht="25" customHeight="1">
      <c r="B65" s="33" t="inlineStr">
        <is>
          <t>Plomo-ácido</t>
        </is>
      </c>
      <c r="C65" s="33" t="inlineStr">
        <is>
          <t>50%</t>
        </is>
      </c>
      <c r="D65" s="33" t="inlineStr">
        <is>
          <t>3-5 años</t>
        </is>
      </c>
      <c r="E65" s="34" t="inlineStr">
        <is>
          <t>$350-450</t>
        </is>
      </c>
      <c r="F65" s="35" t="inlineStr">
        <is>
          <t>Bajo costo inicial, disponibles</t>
        </is>
      </c>
      <c r="G65" s="35" t="inlineStr">
        <is>
          <t>Pesadas, requieren mantenimiento, menor vida</t>
        </is>
      </c>
    </row>
    <row r="66" ht="25" customHeight="1">
      <c r="B66" s="33" t="inlineStr">
        <is>
          <t>AGM</t>
        </is>
      </c>
      <c r="C66" s="33" t="inlineStr">
        <is>
          <t>60%</t>
        </is>
      </c>
      <c r="D66" s="33" t="inlineStr">
        <is>
          <t>5-7 años</t>
        </is>
      </c>
      <c r="E66" s="34" t="inlineStr">
        <is>
          <t>$500-650</t>
        </is>
      </c>
      <c r="F66" s="35" t="inlineStr">
        <is>
          <t>Sin mantenimiento, mejor rendimiento</t>
        </is>
      </c>
      <c r="G66" s="35" t="inlineStr">
        <is>
          <t>Más caras que plomo, sensibles a temperatura</t>
        </is>
      </c>
    </row>
    <row r="67" ht="25" customHeight="1">
      <c r="B67" s="33" t="inlineStr">
        <is>
          <t>Gel</t>
        </is>
      </c>
      <c r="C67" s="33" t="inlineStr">
        <is>
          <t>70%</t>
        </is>
      </c>
      <c r="D67" s="33" t="inlineStr">
        <is>
          <t>8-10 años</t>
        </is>
      </c>
      <c r="E67" s="34" t="inlineStr">
        <is>
          <t>$600-750</t>
        </is>
      </c>
      <c r="F67" s="35" t="inlineStr">
        <is>
          <t>Larga vida, sin mantenimiento, seguras</t>
        </is>
      </c>
      <c r="G67" s="35" t="inlineStr">
        <is>
          <t>Costosas, sensibles a sobrecarga</t>
        </is>
      </c>
    </row>
    <row r="68" ht="25" customHeight="1">
      <c r="B68" s="33" t="inlineStr">
        <is>
          <t>Litio (LiFePO4)</t>
        </is>
      </c>
      <c r="C68" s="33" t="inlineStr">
        <is>
          <t>80-90%</t>
        </is>
      </c>
      <c r="D68" s="33" t="inlineStr">
        <is>
          <t>10-15 años</t>
        </is>
      </c>
      <c r="E68" s="34" t="inlineStr">
        <is>
          <t>$800-1000</t>
        </is>
      </c>
      <c r="F68" s="35" t="inlineStr">
        <is>
          <t>Máxima eficiencia, livianas, larga vida</t>
        </is>
      </c>
      <c r="G68" s="35" t="inlineStr">
        <is>
          <t>Alta inversión inicial, requieren BMS</t>
        </is>
      </c>
    </row>
    <row r="69" ht="35" customHeight="1">
      <c r="B69" s="36" t="inlineStr">
        <is>
          <t>💡 NOTA: Ajuste el precio unitario de baterías (fila 4 de costos) según el tipo seleccionado en parámetros. Litio tiene mayor inversión inicial pero mejor costo/beneficio a largo plazo.</t>
        </is>
      </c>
    </row>
    <row r="71">
      <c r="A71" s="37" t="inlineStr">
        <is>
          <t>📝 INSTRUCCIONES DE USO</t>
        </is>
      </c>
    </row>
    <row r="72" ht="22" customHeight="1">
      <c r="A72" s="38" t="inlineStr">
        <is>
          <t>1️⃣ EQUIPOS: Edite Cantidad, Potencia (W), Horas/día y Factor de uso en las celdas amarillas</t>
        </is>
      </c>
    </row>
    <row r="73" ht="22" customHeight="1">
      <c r="A73" s="38" t="inlineStr">
        <is>
          <t>2️⃣ TIPO DE BATERÍA: Escriba el tipo (Plomo-ácido, AGM, Gel o Litio) en la celda amarilla</t>
        </is>
      </c>
    </row>
    <row r="74" ht="22" customHeight="1">
      <c r="A74" s="38" t="inlineStr">
        <is>
          <t>3️⃣ PROFUNDIDAD DE DESCARGA: Ajuste según tipo - Plomo: 0.5 | AGM: 0.6 | Gel: 0.7 | Litio: 0.8</t>
        </is>
      </c>
    </row>
    <row r="75" ht="22" customHeight="1">
      <c r="A75" s="38" t="inlineStr">
        <is>
          <t>4️⃣ COSTOS: Actualice los precios unitarios según sus proveedores locales (celdas amarillas)</t>
        </is>
      </c>
    </row>
    <row r="76" ht="22" customHeight="1">
      <c r="A76" s="38" t="inlineStr">
        <is>
          <t>5️⃣ MANO DE OBRA: Ajuste según complejidad, ubicación y experiencia del instalador</t>
        </is>
      </c>
    </row>
    <row r="77" ht="22" customHeight="1">
      <c r="A77" s="38" t="inlineStr">
        <is>
          <t>6️⃣ HSP: Para República Dominicana use 4.5-5.5 horas (varía según provincia y época)</t>
        </is>
      </c>
    </row>
    <row r="78" ht="22" customHeight="1">
      <c r="A78" s="38" t="inlineStr">
        <is>
          <t>7️⃣ MAYOR CONSUMO: Ducha eléctrica (11.4%) y A/C (25.6%) - Considere alternativas o uso racionado</t>
        </is>
      </c>
    </row>
    <row r="79" ht="22" customHeight="1">
      <c r="A79" s="38" t="inlineStr">
        <is>
          <t>8️⃣ Los cálculos se actualizan AUTOMÁTICAMENTE al cambiar cualquier valor</t>
        </is>
      </c>
    </row>
    <row r="81">
      <c r="A81" s="39" t="inlineStr">
        <is>
          <t>📧 Email: apolivera1973@gmail.com | Sistema: 110V Monofásico | Híbrido 48V 60Hz | Diciembre 2024</t>
        </is>
      </c>
    </row>
  </sheetData>
  <mergeCells count="70">
    <mergeCell ref="A25:I25"/>
    <mergeCell ref="F31:I31"/>
    <mergeCell ref="F27:I27"/>
    <mergeCell ref="F56:I56"/>
    <mergeCell ref="B60:D60"/>
    <mergeCell ref="B61:D61"/>
    <mergeCell ref="A75:I75"/>
    <mergeCell ref="F43:I43"/>
    <mergeCell ref="F58:I58"/>
    <mergeCell ref="F39:I39"/>
    <mergeCell ref="F52:I52"/>
    <mergeCell ref="F48:I48"/>
    <mergeCell ref="F37:I37"/>
    <mergeCell ref="B31:C31"/>
    <mergeCell ref="A74:I74"/>
    <mergeCell ref="B27:C27"/>
    <mergeCell ref="F49:I49"/>
    <mergeCell ref="B43:C43"/>
    <mergeCell ref="B39:C39"/>
    <mergeCell ref="F60:I60"/>
    <mergeCell ref="A2:I2"/>
    <mergeCell ref="F57:I57"/>
    <mergeCell ref="A71:I71"/>
    <mergeCell ref="F53:I53"/>
    <mergeCell ref="A76:I76"/>
    <mergeCell ref="B42:C42"/>
    <mergeCell ref="F44:I44"/>
    <mergeCell ref="F29:I29"/>
    <mergeCell ref="F54:I54"/>
    <mergeCell ref="A72:I72"/>
    <mergeCell ref="B38:C38"/>
    <mergeCell ref="F40:I40"/>
    <mergeCell ref="B44:C44"/>
    <mergeCell ref="B29:C29"/>
    <mergeCell ref="A63:I63"/>
    <mergeCell ref="A81:I81"/>
    <mergeCell ref="B69:I69"/>
    <mergeCell ref="B37:C37"/>
    <mergeCell ref="F55:I55"/>
    <mergeCell ref="B28:C28"/>
    <mergeCell ref="F30:I30"/>
    <mergeCell ref="A23:E23"/>
    <mergeCell ref="B40:C40"/>
    <mergeCell ref="A34:I34"/>
    <mergeCell ref="F51:I51"/>
    <mergeCell ref="A77:I77"/>
    <mergeCell ref="F33:I33"/>
    <mergeCell ref="F36:I36"/>
    <mergeCell ref="F42:I42"/>
    <mergeCell ref="F32:I32"/>
    <mergeCell ref="F50:I50"/>
    <mergeCell ref="B30:C30"/>
    <mergeCell ref="F26:I26"/>
    <mergeCell ref="F41:I41"/>
    <mergeCell ref="B59:D59"/>
    <mergeCell ref="B33:C33"/>
    <mergeCell ref="F35:I35"/>
    <mergeCell ref="A73:I73"/>
    <mergeCell ref="A1:I1"/>
    <mergeCell ref="A45:I45"/>
    <mergeCell ref="B36:C36"/>
    <mergeCell ref="F38:I38"/>
    <mergeCell ref="B32:C32"/>
    <mergeCell ref="F47:I47"/>
    <mergeCell ref="A79:I79"/>
    <mergeCell ref="B26:C26"/>
    <mergeCell ref="B41:C41"/>
    <mergeCell ref="B35:C35"/>
    <mergeCell ref="A78:I78"/>
    <mergeCell ref="F28:I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2025-12-13T04:54:46Z</dcterms:created>
  <dcterms:modified xsi:type="dcterms:W3CDTF">2025-12-13T04:54:46Z</dcterms:modified>
</cp:coreProperties>
</file>