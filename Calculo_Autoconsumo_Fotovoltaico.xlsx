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lculo Autoconsumo F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05496"/>
      <sz val="14"/>
    </font>
    <font>
      <b val="1"/>
    </font>
    <font>
      <b val="1"/>
      <color rgb="00FFFFFF"/>
      <sz val="11"/>
    </font>
    <font>
      <b val="1"/>
      <sz val="11"/>
    </font>
    <font>
      <b val="1"/>
      <color rgb="00305496"/>
      <sz val="12"/>
    </font>
    <font>
      <b val="1"/>
      <color rgb="00FFFFFF"/>
      <sz val="12"/>
    </font>
    <font>
      <b val="1"/>
      <color rgb="00C00000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0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CÁLCULO DE AUTOCONSUMO PARA SISTEMA FOTOVOLTAICO HÍBRIDO</t>
        </is>
      </c>
    </row>
    <row r="2">
      <c r="A2" s="2" t="inlineStr">
        <is>
          <t>Sistema:</t>
        </is>
      </c>
      <c r="B2" t="inlineStr">
        <is>
          <t>110V Monofásico | 48V DC | 60Hz | Reserva: 1 día</t>
        </is>
      </c>
    </row>
    <row r="4">
      <c r="A4" s="3" t="inlineStr">
        <is>
          <t>Equipo</t>
        </is>
      </c>
      <c r="B4" s="3" t="inlineStr">
        <is>
          <t>Cantidad</t>
        </is>
      </c>
      <c r="C4" s="3" t="inlineStr">
        <is>
          <t>Potencia Unitaria (W)</t>
        </is>
      </c>
      <c r="D4" s="3" t="inlineStr">
        <is>
          <t>Potencia Total (W)</t>
        </is>
      </c>
      <c r="E4" s="3" t="inlineStr">
        <is>
          <t>Horas/Día</t>
        </is>
      </c>
      <c r="F4" s="3" t="inlineStr">
        <is>
          <t>Consumo Diario (Wh)</t>
        </is>
      </c>
      <c r="G4" s="3" t="inlineStr">
        <is>
          <t>Consumo Diario (kWh)</t>
        </is>
      </c>
    </row>
    <row r="5">
      <c r="A5" s="4" t="inlineStr">
        <is>
          <t>Cocina eléctrica</t>
        </is>
      </c>
      <c r="B5" s="5" t="n">
        <v>1</v>
      </c>
      <c r="C5" s="5" t="n">
        <v>2000</v>
      </c>
      <c r="D5" s="5">
        <f>B5*C5</f>
        <v/>
      </c>
      <c r="E5" s="5" t="n">
        <v>1.5</v>
      </c>
      <c r="F5" s="5">
        <f>D5*E5</f>
        <v/>
      </c>
      <c r="G5" s="5">
        <f>F5/1000</f>
        <v/>
      </c>
    </row>
    <row r="6">
      <c r="A6" s="4" t="inlineStr">
        <is>
          <t>Olla multipropósito</t>
        </is>
      </c>
      <c r="B6" s="5" t="n">
        <v>1</v>
      </c>
      <c r="C6" s="5" t="n">
        <v>900</v>
      </c>
      <c r="D6" s="5">
        <f>B6*C6</f>
        <v/>
      </c>
      <c r="E6" s="5" t="n">
        <v>1</v>
      </c>
      <c r="F6" s="5">
        <f>D6*E6</f>
        <v/>
      </c>
      <c r="G6" s="5">
        <f>F6/1000</f>
        <v/>
      </c>
    </row>
    <row r="7">
      <c r="A7" s="4" t="inlineStr">
        <is>
          <t>Cocina de inducción</t>
        </is>
      </c>
      <c r="B7" s="5" t="n">
        <v>1</v>
      </c>
      <c r="C7" s="5" t="n">
        <v>1800</v>
      </c>
      <c r="D7" s="5">
        <f>B7*C7</f>
        <v/>
      </c>
      <c r="E7" s="5" t="n">
        <v>1</v>
      </c>
      <c r="F7" s="5">
        <f>D7*E7</f>
        <v/>
      </c>
      <c r="G7" s="5">
        <f>F7/1000</f>
        <v/>
      </c>
    </row>
    <row r="8">
      <c r="A8" s="4" t="inlineStr">
        <is>
          <t>Refrigerador</t>
        </is>
      </c>
      <c r="B8" s="5" t="n">
        <v>1</v>
      </c>
      <c r="C8" s="5" t="n">
        <v>200</v>
      </c>
      <c r="D8" s="5">
        <f>B8*C8</f>
        <v/>
      </c>
      <c r="E8" s="5" t="n">
        <v>24</v>
      </c>
      <c r="F8" s="5">
        <f>D8*E8</f>
        <v/>
      </c>
      <c r="G8" s="5">
        <f>F8/1000</f>
        <v/>
      </c>
    </row>
    <row r="9">
      <c r="A9" s="4" t="inlineStr">
        <is>
          <t>Nevera</t>
        </is>
      </c>
      <c r="B9" s="5" t="n">
        <v>1</v>
      </c>
      <c r="C9" s="5" t="n">
        <v>150</v>
      </c>
      <c r="D9" s="5">
        <f>B9*C9</f>
        <v/>
      </c>
      <c r="E9" s="5" t="n">
        <v>24</v>
      </c>
      <c r="F9" s="5">
        <f>D9*E9</f>
        <v/>
      </c>
      <c r="G9" s="5">
        <f>F9/1000</f>
        <v/>
      </c>
    </row>
    <row r="10">
      <c r="A10" s="4" t="inlineStr">
        <is>
          <t>Horno de aire</t>
        </is>
      </c>
      <c r="B10" s="5" t="n">
        <v>1</v>
      </c>
      <c r="C10" s="5" t="n">
        <v>1500</v>
      </c>
      <c r="D10" s="5">
        <f>B10*C10</f>
        <v/>
      </c>
      <c r="E10" s="5" t="n">
        <v>0.5</v>
      </c>
      <c r="F10" s="5">
        <f>D10*E10</f>
        <v/>
      </c>
      <c r="G10" s="5">
        <f>F10/1000</f>
        <v/>
      </c>
    </row>
    <row r="11">
      <c r="A11" s="4" t="inlineStr">
        <is>
          <t>Batidora</t>
        </is>
      </c>
      <c r="B11" s="5" t="n">
        <v>1</v>
      </c>
      <c r="C11" s="5" t="n">
        <v>300</v>
      </c>
      <c r="D11" s="5">
        <f>B11*C11</f>
        <v/>
      </c>
      <c r="E11" s="5" t="n">
        <v>0.25</v>
      </c>
      <c r="F11" s="5">
        <f>D11*E11</f>
        <v/>
      </c>
      <c r="G11" s="5">
        <f>F11/1000</f>
        <v/>
      </c>
    </row>
    <row r="12">
      <c r="A12" s="4" t="inlineStr">
        <is>
          <t>Microondas</t>
        </is>
      </c>
      <c r="B12" s="5" t="n">
        <v>1</v>
      </c>
      <c r="C12" s="5" t="n">
        <v>1200</v>
      </c>
      <c r="D12" s="5">
        <f>B12*C12</f>
        <v/>
      </c>
      <c r="E12" s="5" t="n">
        <v>0.5</v>
      </c>
      <c r="F12" s="5">
        <f>D12*E12</f>
        <v/>
      </c>
      <c r="G12" s="5">
        <f>F12/1000</f>
        <v/>
      </c>
    </row>
    <row r="13">
      <c r="A13" s="4" t="inlineStr">
        <is>
          <t>Lavadora semiautomática</t>
        </is>
      </c>
      <c r="B13" s="5" t="n">
        <v>1</v>
      </c>
      <c r="C13" s="5" t="n">
        <v>400</v>
      </c>
      <c r="D13" s="5">
        <f>B13*C13</f>
        <v/>
      </c>
      <c r="E13" s="5" t="n">
        <v>1</v>
      </c>
      <c r="F13" s="5">
        <f>D13*E13</f>
        <v/>
      </c>
      <c r="G13" s="5">
        <f>F13/1000</f>
        <v/>
      </c>
    </row>
    <row r="14">
      <c r="A14" s="4" t="inlineStr">
        <is>
          <t>Ducha eléctrica</t>
        </is>
      </c>
      <c r="B14" s="5" t="n">
        <v>1</v>
      </c>
      <c r="C14" s="5" t="n">
        <v>4500</v>
      </c>
      <c r="D14" s="5">
        <f>B14*C14</f>
        <v/>
      </c>
      <c r="E14" s="5" t="n">
        <v>0.5</v>
      </c>
      <c r="F14" s="5">
        <f>D14*E14</f>
        <v/>
      </c>
      <c r="G14" s="5">
        <f>F14/1000</f>
        <v/>
      </c>
    </row>
    <row r="15">
      <c r="A15" s="4" t="inlineStr">
        <is>
          <t>Televisor 55 pulgadas</t>
        </is>
      </c>
      <c r="B15" s="5" t="n">
        <v>1</v>
      </c>
      <c r="C15" s="5" t="n">
        <v>150</v>
      </c>
      <c r="D15" s="5">
        <f>B15*C15</f>
        <v/>
      </c>
      <c r="E15" s="5" t="n">
        <v>6</v>
      </c>
      <c r="F15" s="5">
        <f>D15*E15</f>
        <v/>
      </c>
      <c r="G15" s="5">
        <f>F15/1000</f>
        <v/>
      </c>
    </row>
    <row r="16">
      <c r="A16" s="4" t="inlineStr">
        <is>
          <t>Ventiladores</t>
        </is>
      </c>
      <c r="B16" s="5" t="n">
        <v>4</v>
      </c>
      <c r="C16" s="5" t="n">
        <v>75</v>
      </c>
      <c r="D16" s="5">
        <f>B16*C16</f>
        <v/>
      </c>
      <c r="E16" s="5" t="n">
        <v>8</v>
      </c>
      <c r="F16" s="5">
        <f>D16*E16</f>
        <v/>
      </c>
      <c r="G16" s="5">
        <f>F16/1000</f>
        <v/>
      </c>
    </row>
    <row r="17">
      <c r="A17" s="4" t="inlineStr">
        <is>
          <t>Lámparas LED</t>
        </is>
      </c>
      <c r="B17" s="5" t="n">
        <v>15</v>
      </c>
      <c r="C17" s="5" t="n">
        <v>12</v>
      </c>
      <c r="D17" s="5">
        <f>B17*C17</f>
        <v/>
      </c>
      <c r="E17" s="5" t="n">
        <v>5</v>
      </c>
      <c r="F17" s="5">
        <f>D17*E17</f>
        <v/>
      </c>
      <c r="G17" s="5">
        <f>F17/1000</f>
        <v/>
      </c>
    </row>
    <row r="18">
      <c r="A18" s="4" t="inlineStr">
        <is>
          <t>Split (Aire acondicionado)</t>
        </is>
      </c>
      <c r="B18" s="5" t="n">
        <v>1</v>
      </c>
      <c r="C18" s="5" t="n">
        <v>1500</v>
      </c>
      <c r="D18" s="5">
        <f>B18*C18</f>
        <v/>
      </c>
      <c r="E18" s="5" t="n">
        <v>6</v>
      </c>
      <c r="F18" s="5">
        <f>D18*E18</f>
        <v/>
      </c>
      <c r="G18" s="5">
        <f>F18/1000</f>
        <v/>
      </c>
    </row>
    <row r="19">
      <c r="A19" s="4" t="inlineStr">
        <is>
          <t>Cargadores de teléfonos</t>
        </is>
      </c>
      <c r="B19" s="5" t="n">
        <v>2</v>
      </c>
      <c r="C19" s="5" t="n">
        <v>10</v>
      </c>
      <c r="D19" s="5">
        <f>B19*C19</f>
        <v/>
      </c>
      <c r="E19" s="5" t="n">
        <v>3</v>
      </c>
      <c r="F19" s="5">
        <f>D19*E19</f>
        <v/>
      </c>
      <c r="G19" s="5">
        <f>F19/1000</f>
        <v/>
      </c>
    </row>
    <row r="20">
      <c r="A20" s="4" t="inlineStr">
        <is>
          <t>Cargador de motocicleta</t>
        </is>
      </c>
      <c r="B20" s="5" t="n">
        <v>1</v>
      </c>
      <c r="C20" s="5" t="n">
        <v>60</v>
      </c>
      <c r="D20" s="5">
        <f>B20*C20</f>
        <v/>
      </c>
      <c r="E20" s="5" t="n">
        <v>2</v>
      </c>
      <c r="F20" s="5">
        <f>D20*E20</f>
        <v/>
      </c>
      <c r="G20" s="5">
        <f>F20/1000</f>
        <v/>
      </c>
    </row>
    <row r="21">
      <c r="A21" s="4" t="inlineStr">
        <is>
          <t>Radio</t>
        </is>
      </c>
      <c r="B21" s="5" t="n">
        <v>1</v>
      </c>
      <c r="C21" s="5" t="n">
        <v>20</v>
      </c>
      <c r="D21" s="5">
        <f>B21*C21</f>
        <v/>
      </c>
      <c r="E21" s="5" t="n">
        <v>4</v>
      </c>
      <c r="F21" s="5">
        <f>D21*E21</f>
        <v/>
      </c>
      <c r="G21" s="5">
        <f>F21/1000</f>
        <v/>
      </c>
    </row>
    <row r="22">
      <c r="A22" s="4" t="inlineStr">
        <is>
          <t>Teatro en casa 5.1</t>
        </is>
      </c>
      <c r="B22" s="5" t="n">
        <v>1</v>
      </c>
      <c r="C22" s="5" t="n">
        <v>200</v>
      </c>
      <c r="D22" s="5">
        <f>B22*C22</f>
        <v/>
      </c>
      <c r="E22" s="5" t="n">
        <v>3</v>
      </c>
      <c r="F22" s="5">
        <f>D22*E22</f>
        <v/>
      </c>
      <c r="G22" s="5">
        <f>F22/1000</f>
        <v/>
      </c>
    </row>
    <row r="23">
      <c r="A23" s="6" t="inlineStr">
        <is>
          <t>SUBTOTAL CONSUMO DIARIO</t>
        </is>
      </c>
      <c r="B23" s="7" t="n"/>
      <c r="C23" s="7" t="n"/>
      <c r="D23" s="7">
        <f>SUM(D5:D22)</f>
        <v/>
      </c>
      <c r="E23" s="7" t="n"/>
      <c r="F23" s="7">
        <f>SUM(F5:F22)</f>
        <v/>
      </c>
      <c r="G23" s="7">
        <f>F23/1000</f>
        <v/>
      </c>
    </row>
    <row r="25">
      <c r="A25" s="8" t="inlineStr">
        <is>
          <t>DIMENSIONAMIENTO DEL SISTEMA FOTOVOLTAICO</t>
        </is>
      </c>
      <c r="B25" s="5" t="n"/>
      <c r="C25" s="4" t="n"/>
      <c r="D25" s="4" t="n"/>
      <c r="E25" s="4" t="n"/>
      <c r="F25" s="4" t="n"/>
      <c r="G25" s="4" t="n"/>
    </row>
    <row r="26">
      <c r="A26" s="3" t="inlineStr">
        <is>
          <t>Parámetro</t>
        </is>
      </c>
      <c r="B26" s="9" t="inlineStr">
        <is>
          <t>Valor</t>
        </is>
      </c>
      <c r="C26" s="3" t="inlineStr">
        <is>
          <t>Unidad</t>
        </is>
      </c>
      <c r="D26" s="3" t="inlineStr">
        <is>
          <t>Descripción</t>
        </is>
      </c>
      <c r="E26" s="4" t="n"/>
      <c r="F26" s="4" t="n"/>
      <c r="G26" s="4" t="n"/>
    </row>
    <row r="27">
      <c r="A27" s="4" t="inlineStr">
        <is>
          <t>Consumo Diario</t>
        </is>
      </c>
      <c r="B27" s="10">
        <f>F23</f>
        <v/>
      </c>
      <c r="C27" s="4" t="inlineStr">
        <is>
          <t>Wh/día</t>
        </is>
      </c>
      <c r="D27" s="4" t="inlineStr">
        <is>
          <t>Energía total consumida por día</t>
        </is>
      </c>
      <c r="E27" s="4" t="n"/>
      <c r="F27" s="4" t="n"/>
      <c r="G27" s="4" t="n"/>
    </row>
    <row r="28">
      <c r="A28" s="4" t="inlineStr">
        <is>
          <t>Factor de pérdidas</t>
        </is>
      </c>
      <c r="B28" s="10" t="n">
        <v>0.2</v>
      </c>
      <c r="C28" s="4" t="inlineStr">
        <is>
          <t>20%</t>
        </is>
      </c>
      <c r="D28" s="4" t="inlineStr">
        <is>
          <t>Pérdidas en cables, inversores, baterías (típico 15-25%)</t>
        </is>
      </c>
      <c r="E28" s="4" t="n"/>
      <c r="F28" s="4" t="n"/>
      <c r="G28" s="4" t="n"/>
    </row>
    <row r="29">
      <c r="A29" s="4" t="inlineStr">
        <is>
          <t>Consumo Corregido</t>
        </is>
      </c>
      <c r="B29" s="10">
        <f>B27*(1+B28)</f>
        <v/>
      </c>
      <c r="C29" s="4" t="inlineStr">
        <is>
          <t>Wh/día</t>
        </is>
      </c>
      <c r="D29" s="4" t="inlineStr">
        <is>
          <t>Consumo diario considerando pérdidas</t>
        </is>
      </c>
      <c r="E29" s="4" t="n"/>
      <c r="F29" s="4" t="n"/>
      <c r="G29" s="4" t="n"/>
    </row>
    <row r="30">
      <c r="A30" s="4" t="inlineStr">
        <is>
          <t>Horas Sol Pico (HSP)</t>
        </is>
      </c>
      <c r="B30" s="10" t="n">
        <v>4.5</v>
      </c>
      <c r="C30" s="4" t="inlineStr">
        <is>
          <t>horas</t>
        </is>
      </c>
      <c r="D30" s="4" t="inlineStr">
        <is>
          <t>Promedio para República Dominicana (ajustar según ubicación)</t>
        </is>
      </c>
      <c r="E30" s="4" t="n"/>
      <c r="F30" s="4" t="n"/>
      <c r="G30" s="4" t="n"/>
    </row>
    <row r="31">
      <c r="A31" s="4" t="inlineStr">
        <is>
          <t>Potencia Pico Paneles</t>
        </is>
      </c>
      <c r="B31" s="10">
        <f>B29/B30</f>
        <v/>
      </c>
      <c r="C31" s="4" t="inlineStr">
        <is>
          <t>Wp</t>
        </is>
      </c>
      <c r="D31" s="4" t="inlineStr">
        <is>
          <t>Potencia necesaria en paneles solares</t>
        </is>
      </c>
      <c r="E31" s="4" t="n"/>
      <c r="F31" s="4" t="n"/>
      <c r="G31" s="4" t="n"/>
    </row>
    <row r="32">
      <c r="A32" s="4" t="inlineStr">
        <is>
          <t>Días de Autonomía</t>
        </is>
      </c>
      <c r="B32" s="10" t="n">
        <v>1</v>
      </c>
      <c r="C32" s="4" t="inlineStr">
        <is>
          <t>días</t>
        </is>
      </c>
      <c r="D32" s="4" t="inlineStr">
        <is>
          <t>Reserva de energía en baterías</t>
        </is>
      </c>
      <c r="E32" s="4" t="n"/>
      <c r="F32" s="4" t="n"/>
      <c r="G32" s="4" t="n"/>
    </row>
    <row r="33">
      <c r="A33" s="4" t="inlineStr">
        <is>
          <t>Profundidad de Descarga</t>
        </is>
      </c>
      <c r="B33" s="10" t="n">
        <v>0.5</v>
      </c>
      <c r="C33" s="4" t="inlineStr">
        <is>
          <t>50%</t>
        </is>
      </c>
      <c r="D33" s="4" t="inlineStr">
        <is>
          <t>Para baterías de ciclo profundo (50-80% típico)</t>
        </is>
      </c>
      <c r="E33" s="4" t="n"/>
      <c r="F33" s="4" t="n"/>
      <c r="G33" s="4" t="n"/>
    </row>
    <row r="34">
      <c r="A34" s="4" t="inlineStr">
        <is>
          <t>Voltaje Banco Baterías</t>
        </is>
      </c>
      <c r="B34" s="10" t="n">
        <v>48</v>
      </c>
      <c r="C34" s="4" t="inlineStr">
        <is>
          <t>VDC</t>
        </is>
      </c>
      <c r="D34" s="4" t="inlineStr">
        <is>
          <t>Sistema híbrido de 48V DC</t>
        </is>
      </c>
      <c r="E34" s="4" t="n"/>
      <c r="F34" s="4" t="n"/>
      <c r="G34" s="4" t="n"/>
    </row>
    <row r="35">
      <c r="A35" s="4" t="inlineStr">
        <is>
          <t>Capacidad Banco Baterías</t>
        </is>
      </c>
      <c r="B35" s="10">
        <f>(B29*B32)/(B34*B33)</f>
        <v/>
      </c>
      <c r="C35" s="4" t="inlineStr">
        <is>
          <t>Ah</t>
        </is>
      </c>
      <c r="D35" s="4" t="inlineStr">
        <is>
          <t>Capacidad necesaria del banco de baterías</t>
        </is>
      </c>
      <c r="E35" s="4" t="n"/>
      <c r="F35" s="4" t="n"/>
      <c r="G35" s="4" t="n"/>
    </row>
    <row r="36">
      <c r="A36" s="4" t="inlineStr">
        <is>
          <t>Potencia Inversor</t>
        </is>
      </c>
      <c r="B36" s="10">
        <f>D23*1.25</f>
        <v/>
      </c>
      <c r="C36" s="4" t="inlineStr">
        <is>
          <t>W</t>
        </is>
      </c>
      <c r="D36" s="4" t="inlineStr">
        <is>
          <t>Potencia máxima simultánea + 25% margen</t>
        </is>
      </c>
      <c r="E36" s="4" t="n"/>
      <c r="F36" s="4" t="n"/>
      <c r="G36" s="4" t="n"/>
    </row>
    <row r="38">
      <c r="A38" s="11" t="inlineStr">
        <is>
          <t>RESUMEN DEL SISTEMA RECOMENDADO</t>
        </is>
      </c>
    </row>
    <row r="39">
      <c r="A39" s="12" t="inlineStr">
        <is>
          <t>Componente</t>
        </is>
      </c>
      <c r="B39" s="13" t="inlineStr">
        <is>
          <t>Especificación</t>
        </is>
      </c>
      <c r="C39" s="4" t="n"/>
      <c r="D39" s="4" t="n"/>
      <c r="E39" s="4" t="n"/>
      <c r="F39" s="4" t="n"/>
      <c r="G39" s="4" t="n"/>
    </row>
    <row r="40">
      <c r="A40" s="14" t="inlineStr">
        <is>
          <t>Paneles Solares</t>
        </is>
      </c>
      <c r="B40" s="4">
        <f>ROUNDUP(B31/550,0) &amp; " paneles de 550Wp = " &amp; TEXT(ROUNDUP(B31/550,0)*550,"#,##0") &amp; " Wp total"</f>
        <v/>
      </c>
      <c r="C40" s="4" t="n"/>
      <c r="D40" s="4" t="n"/>
      <c r="E40" s="4" t="n"/>
      <c r="F40" s="4" t="n"/>
      <c r="G40" s="4" t="n"/>
    </row>
    <row r="41">
      <c r="A41" s="14" t="inlineStr">
        <is>
          <t>Baterías</t>
        </is>
      </c>
      <c r="B41" s="4">
        <f>ROUNDUP(B35/200,0) &amp; " baterías de 200Ah/48V = " &amp; TEXT(ROUNDUP(B35/200,0)*200,"#,##0") &amp; " Ah total"</f>
        <v/>
      </c>
      <c r="C41" s="4" t="n"/>
      <c r="D41" s="4" t="n"/>
      <c r="E41" s="4" t="n"/>
      <c r="F41" s="4" t="n"/>
      <c r="G41" s="4" t="n"/>
    </row>
    <row r="42">
      <c r="A42" s="14" t="inlineStr">
        <is>
          <t>Inversor Híbrido</t>
        </is>
      </c>
      <c r="B42" s="4">
        <f>TEXT(ROUNDUP(B36/1000,0)*1000,"#,##0") &amp; " W / " &amp; TEXT(ROUNDUP(B36/1000,0),"0") &amp; " kW (48V a 110V, 60Hz)"</f>
        <v/>
      </c>
      <c r="C42" s="4" t="n"/>
      <c r="D42" s="4" t="n"/>
      <c r="E42" s="4" t="n"/>
      <c r="F42" s="4" t="n"/>
      <c r="G42" s="4" t="n"/>
    </row>
    <row r="43">
      <c r="A43" s="14" t="inlineStr">
        <is>
          <t>Controlador de Carga</t>
        </is>
      </c>
      <c r="B43" s="4">
        <f>TEXT(ROUNDUP((B31/48)*1.25/10,0)*10,"#,##0") &amp; " A MPPT (48V)"</f>
        <v/>
      </c>
      <c r="C43" s="4" t="n"/>
      <c r="D43" s="4" t="n"/>
      <c r="E43" s="4" t="n"/>
      <c r="F43" s="4" t="n"/>
      <c r="G43" s="4" t="n"/>
    </row>
    <row r="45">
      <c r="A45" s="15" t="inlineStr">
        <is>
          <t>NOTAS IMPORTANTES</t>
        </is>
      </c>
    </row>
    <row r="46">
      <c r="A46" s="16" t="inlineStr">
        <is>
          <t>1. Ajustar las horas de uso diario según los hábitos reales de consumo</t>
        </is>
      </c>
    </row>
    <row r="47">
      <c r="A47" s="16" t="inlineStr">
        <is>
          <t>2. Las potencias indicadas son valores típicos; verificar especificaciones de cada equipo</t>
        </is>
      </c>
    </row>
    <row r="48">
      <c r="A48" s="16" t="inlineStr">
        <is>
          <t>3. Las HSP varían según la ubicación geográfica y época del año</t>
        </is>
      </c>
    </row>
    <row r="49">
      <c r="A49" s="16" t="inlineStr">
        <is>
          <t>4. Se recomienda instalar un sistema de monitoreo para optimizar el consumo</t>
        </is>
      </c>
    </row>
    <row r="50">
      <c r="A50" s="16" t="inlineStr">
        <is>
          <t>5. Considerar normativas locales y permisos para instalación fotovoltaica</t>
        </is>
      </c>
    </row>
    <row r="51">
      <c r="A51" s="16" t="inlineStr">
        <is>
          <t>6. Los equipos de alto consumo (ducha, cocina) pueden requerir respaldo de red</t>
        </is>
      </c>
    </row>
    <row r="52">
      <c r="A52" s="16" t="inlineStr">
        <is>
          <t>7. Mantenimiento preventivo recomendado cada 6 meses</t>
        </is>
      </c>
    </row>
  </sheetData>
  <mergeCells count="28">
    <mergeCell ref="B2:G2"/>
    <mergeCell ref="B42:G42"/>
    <mergeCell ref="A47:G47"/>
    <mergeCell ref="D30:G30"/>
    <mergeCell ref="A38:G38"/>
    <mergeCell ref="D33:G33"/>
    <mergeCell ref="A52:G52"/>
    <mergeCell ref="D29:G29"/>
    <mergeCell ref="D26:G26"/>
    <mergeCell ref="D35:G35"/>
    <mergeCell ref="A48:G48"/>
    <mergeCell ref="B40:G40"/>
    <mergeCell ref="D34:G34"/>
    <mergeCell ref="A49:G49"/>
    <mergeCell ref="A51:G51"/>
    <mergeCell ref="A45:G45"/>
    <mergeCell ref="D31:G31"/>
    <mergeCell ref="A1:G1"/>
    <mergeCell ref="D36:G36"/>
    <mergeCell ref="B41:G41"/>
    <mergeCell ref="A25:G25"/>
    <mergeCell ref="D27:G27"/>
    <mergeCell ref="D28:G28"/>
    <mergeCell ref="D32:G32"/>
    <mergeCell ref="A46:G46"/>
    <mergeCell ref="A50:G50"/>
    <mergeCell ref="B43:G43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2025-12-11T20:00:07Z</dcterms:created>
  <dcterms:modified xsi:type="dcterms:W3CDTF">2025-12-11T20:00:07Z</dcterms:modified>
</cp:coreProperties>
</file>