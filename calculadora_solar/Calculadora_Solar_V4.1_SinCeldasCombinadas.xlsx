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Lista de Materiales" sheetId="2" state="visible" r:id="rId2"/>
    <sheet name="Informe Cli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b val="1"/>
      <color rgb="00FFFFFF"/>
      <sz val="12"/>
    </font>
    <font>
      <b val="1"/>
      <color rgb="00FFFFFF"/>
    </font>
    <font>
      <i val="1"/>
      <sz val="9"/>
    </font>
    <font>
      <b val="1"/>
    </font>
    <font>
      <b val="1"/>
      <sz val="11"/>
    </font>
    <font>
      <b val="1"/>
      <sz val="10"/>
    </font>
    <font>
      <b val="1"/>
      <sz val="9"/>
    </font>
    <font>
      <sz val="9"/>
    </font>
    <font>
      <b val="1"/>
      <color rgb="000070C0"/>
      <sz val="11"/>
    </font>
    <font>
      <b val="1"/>
      <color rgb="00FFFFFF"/>
      <sz val="13"/>
    </font>
    <font>
      <b val="1"/>
      <i val="1"/>
      <sz val="10"/>
    </font>
    <font>
      <b val="1"/>
      <color rgb="00FFFFFF"/>
      <sz val="20"/>
    </font>
    <font>
      <b val="1"/>
      <color rgb="00203864"/>
      <sz val="14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91E63"/>
        <bgColor rgb="00E91E6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4CAF50"/>
        <bgColor rgb="004CAF50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B3E5FC"/>
        <bgColor rgb="00B3E5FC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2" fontId="5" fillId="6" borderId="1" applyAlignment="1" pivotButton="0" quotePrefix="0" xfId="0">
      <alignment horizontal="right"/>
    </xf>
    <xf numFmtId="0" fontId="0" fillId="6" borderId="1" pivotButton="0" quotePrefix="0" xfId="0"/>
    <xf numFmtId="0" fontId="5" fillId="7" borderId="0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left"/>
    </xf>
    <xf numFmtId="0" fontId="5" fillId="8" borderId="0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2" fontId="9" fillId="11" borderId="1" applyAlignment="1" pivotButton="0" quotePrefix="0" xfId="0">
      <alignment horizontal="center"/>
    </xf>
    <xf numFmtId="1" fontId="9" fillId="11" borderId="1" applyAlignment="1" pivotButton="0" quotePrefix="0" xfId="0">
      <alignment horizontal="center"/>
    </xf>
    <xf numFmtId="0" fontId="3" fillId="12" borderId="0" applyAlignment="1" pivotButton="0" quotePrefix="0" xfId="0">
      <alignment horizontal="center" wrapText="1"/>
    </xf>
    <xf numFmtId="0" fontId="10" fillId="5" borderId="0" applyAlignment="1" pivotButton="0" quotePrefix="0" xfId="0">
      <alignment horizontal="center"/>
    </xf>
    <xf numFmtId="0" fontId="3" fillId="1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65" fontId="0" fillId="14" borderId="1" applyAlignment="1" pivotButton="0" quotePrefix="0" xfId="0">
      <alignment horizontal="right"/>
    </xf>
    <xf numFmtId="0" fontId="10" fillId="15" borderId="1" applyAlignment="1" pivotButton="0" quotePrefix="0" xfId="0">
      <alignment horizontal="right"/>
    </xf>
    <xf numFmtId="165" fontId="10" fillId="15" borderId="1" applyAlignment="1" pivotButton="0" quotePrefix="0" xfId="0">
      <alignment horizontal="right"/>
    </xf>
    <xf numFmtId="0" fontId="5" fillId="13" borderId="1" applyAlignment="1" pivotButton="0" quotePrefix="0" xfId="0">
      <alignment horizontal="right"/>
    </xf>
    <xf numFmtId="165" fontId="5" fillId="13" borderId="1" applyAlignment="1" pivotButton="0" quotePrefix="0" xfId="0">
      <alignment horizontal="right"/>
    </xf>
    <xf numFmtId="0" fontId="9" fillId="16" borderId="1" applyAlignment="1" pivotButton="0" quotePrefix="0" xfId="0">
      <alignment horizontal="right"/>
    </xf>
    <xf numFmtId="165" fontId="13" fillId="5" borderId="1" applyAlignment="1" pivotButton="0" quotePrefix="0" xfId="0">
      <alignment horizontal="right"/>
    </xf>
    <xf numFmtId="0" fontId="14" fillId="12" borderId="1" applyAlignment="1" pivotButton="0" quotePrefix="0" xfId="0">
      <alignment horizontal="right"/>
    </xf>
    <xf numFmtId="165" fontId="14" fillId="12" borderId="1" applyAlignment="1" pivotButton="0" quotePrefix="0" xfId="0">
      <alignment horizontal="right"/>
    </xf>
    <xf numFmtId="0" fontId="15" fillId="17" borderId="0" applyAlignment="1" pivotButton="0" quotePrefix="0" xfId="0">
      <alignment horizontal="left" wrapText="1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14" borderId="0" pivotButton="0" quotePrefix="0" xfId="0"/>
    <xf numFmtId="0" fontId="8" fillId="0" borderId="0" pivotButton="0" quotePrefix="0" xfId="0"/>
    <xf numFmtId="0" fontId="4" fillId="5" borderId="0" pivotButton="0" quotePrefix="0" xfId="0"/>
    <xf numFmtId="0" fontId="5" fillId="7" borderId="0" pivotButton="0" quotePrefix="0" xfId="0"/>
    <xf numFmtId="49" fontId="0" fillId="0" borderId="0" pivotButton="0" quotePrefix="0" xfId="0"/>
    <xf numFmtId="0" fontId="5" fillId="10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2" customWidth="1" min="5" max="5"/>
    <col width="15" customWidth="1" min="6" max="6"/>
    <col width="8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CALCULADORA SOLAR V4 - CON LISTAS DESPLEGABLES Y CÁLCULO DE STRINGS</t>
        </is>
      </c>
    </row>
    <row r="2">
      <c r="A2" s="2" t="inlineStr">
        <is>
          <t>Use las FLECHAS 🔽 en celdas amarillas para seleccionar opciones</t>
        </is>
      </c>
    </row>
    <row r="3"/>
    <row r="4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POT.(W)</t>
        </is>
      </c>
      <c r="E4" s="3" t="inlineStr">
        <is>
          <t>H/DÍA</t>
        </is>
      </c>
      <c r="F4" s="3" t="inlineStr">
        <is>
          <t>CONSUMO(Wh)</t>
        </is>
      </c>
      <c r="G4" s="3" t="inlineStr">
        <is>
          <t>FACTOR</t>
        </is>
      </c>
      <c r="H4" s="3" t="inlineStr">
        <is>
          <t>CONSUMO REAL(Wh)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6" t="n">
        <v>1.5</v>
      </c>
      <c r="F5" s="7">
        <f>C5*D5*E5</f>
        <v/>
      </c>
      <c r="G5" s="8" t="n">
        <v>0.7</v>
      </c>
      <c r="H5" s="7">
        <f>F5*G5</f>
        <v/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6" t="n">
        <v>1</v>
      </c>
      <c r="F6" s="7">
        <f>C6*D6*E6</f>
        <v/>
      </c>
      <c r="G6" s="8" t="n">
        <v>0.8</v>
      </c>
      <c r="H6" s="7">
        <f>F6*G6</f>
        <v/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6" t="n">
        <v>1</v>
      </c>
      <c r="F7" s="7">
        <f>C7*D7*E7</f>
        <v/>
      </c>
      <c r="G7" s="8" t="n">
        <v>0.7</v>
      </c>
      <c r="H7" s="7">
        <f>F7*G7</f>
        <v/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6" t="n">
        <v>24</v>
      </c>
      <c r="F8" s="7">
        <f>C8*D8*E8</f>
        <v/>
      </c>
      <c r="G8" s="8" t="n">
        <v>0.4</v>
      </c>
      <c r="H8" s="7">
        <f>F8*G8</f>
        <v/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6" t="n">
        <v>24</v>
      </c>
      <c r="F9" s="7">
        <f>C9*D9*E9</f>
        <v/>
      </c>
      <c r="G9" s="8" t="n">
        <v>0.4</v>
      </c>
      <c r="H9" s="7">
        <f>F9*G9</f>
        <v/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6" t="n">
        <v>0.5</v>
      </c>
      <c r="F10" s="7">
        <f>C10*D10*E10</f>
        <v/>
      </c>
      <c r="G10" s="8" t="n">
        <v>0.8</v>
      </c>
      <c r="H10" s="7">
        <f>F10*G10</f>
        <v/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6" t="n">
        <v>0.3</v>
      </c>
      <c r="F11" s="7">
        <f>C11*D11*E11</f>
        <v/>
      </c>
      <c r="G11" s="8" t="n">
        <v>1</v>
      </c>
      <c r="H11" s="7">
        <f>F11*G11</f>
        <v/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6" t="n">
        <v>0.5</v>
      </c>
      <c r="F12" s="7">
        <f>C12*D12*E12</f>
        <v/>
      </c>
      <c r="G12" s="8" t="n">
        <v>0.8</v>
      </c>
      <c r="H12" s="7">
        <f>F12*G12</f>
        <v/>
      </c>
    </row>
    <row r="13">
      <c r="A13" s="4" t="n">
        <v>9</v>
      </c>
      <c r="B13" s="5" t="inlineStr">
        <is>
          <t>Lavadora</t>
        </is>
      </c>
      <c r="C13" s="6" t="n">
        <v>1</v>
      </c>
      <c r="D13" s="6" t="n">
        <v>400</v>
      </c>
      <c r="E13" s="6" t="n">
        <v>1</v>
      </c>
      <c r="F13" s="7">
        <f>C13*D13*E13</f>
        <v/>
      </c>
      <c r="G13" s="8" t="n">
        <v>0.8</v>
      </c>
      <c r="H13" s="7">
        <f>F13*G13</f>
        <v/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6" t="n">
        <v>0.5</v>
      </c>
      <c r="F14" s="7">
        <f>C14*D14*E14</f>
        <v/>
      </c>
      <c r="G14" s="8" t="n">
        <v>1</v>
      </c>
      <c r="H14" s="7">
        <f>F14*G14</f>
        <v/>
      </c>
    </row>
    <row r="15">
      <c r="A15" s="4" t="n">
        <v>11</v>
      </c>
      <c r="B15" s="5" t="inlineStr">
        <is>
          <t>TV 55"</t>
        </is>
      </c>
      <c r="C15" s="6" t="n">
        <v>1</v>
      </c>
      <c r="D15" s="6" t="n">
        <v>120</v>
      </c>
      <c r="E15" s="6" t="n">
        <v>6</v>
      </c>
      <c r="F15" s="7">
        <f>C15*D15*E15</f>
        <v/>
      </c>
      <c r="G15" s="8" t="n">
        <v>1</v>
      </c>
      <c r="H15" s="7">
        <f>F15*G15</f>
        <v/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6" t="n">
        <v>8</v>
      </c>
      <c r="F16" s="7">
        <f>C16*D16*E16</f>
        <v/>
      </c>
      <c r="G16" s="8" t="n">
        <v>1</v>
      </c>
      <c r="H16" s="7">
        <f>F16*G16</f>
        <v/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6" t="n">
        <v>5</v>
      </c>
      <c r="F17" s="7">
        <f>C17*D17*E17</f>
        <v/>
      </c>
      <c r="G17" s="8" t="n">
        <v>1</v>
      </c>
      <c r="H17" s="7">
        <f>F17*G17</f>
        <v/>
      </c>
    </row>
    <row r="18">
      <c r="A18" s="4" t="n">
        <v>14</v>
      </c>
      <c r="B18" s="5" t="inlineStr">
        <is>
          <t>Split (A/C)</t>
        </is>
      </c>
      <c r="C18" s="6" t="n">
        <v>1</v>
      </c>
      <c r="D18" s="6" t="n">
        <v>1200</v>
      </c>
      <c r="E18" s="6" t="n">
        <v>6</v>
      </c>
      <c r="F18" s="7">
        <f>C18*D18*E18</f>
        <v/>
      </c>
      <c r="G18" s="8" t="n">
        <v>0.7</v>
      </c>
      <c r="H18" s="7">
        <f>F18*G18</f>
        <v/>
      </c>
    </row>
    <row r="19">
      <c r="A19" s="4" t="n">
        <v>15</v>
      </c>
      <c r="B19" s="5" t="inlineStr">
        <is>
          <t>Carg. teléfonos</t>
        </is>
      </c>
      <c r="C19" s="6" t="n">
        <v>2</v>
      </c>
      <c r="D19" s="6" t="n">
        <v>10</v>
      </c>
      <c r="E19" s="6" t="n">
        <v>3</v>
      </c>
      <c r="F19" s="7">
        <f>C19*D19*E19</f>
        <v/>
      </c>
      <c r="G19" s="8" t="n">
        <v>1</v>
      </c>
      <c r="H19" s="7">
        <f>F19*G19</f>
        <v/>
      </c>
    </row>
    <row r="20">
      <c r="A20" s="4" t="n">
        <v>16</v>
      </c>
      <c r="B20" s="5" t="inlineStr">
        <is>
          <t>Carg. motosierra</t>
        </is>
      </c>
      <c r="C20" s="6" t="n">
        <v>1</v>
      </c>
      <c r="D20" s="6" t="n">
        <v>80</v>
      </c>
      <c r="E20" s="6" t="n">
        <v>2</v>
      </c>
      <c r="F20" s="7">
        <f>C20*D20*E20</f>
        <v/>
      </c>
      <c r="G20" s="8" t="n">
        <v>1</v>
      </c>
      <c r="H20" s="7">
        <f>F20*G20</f>
        <v/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6" t="n">
        <v>4</v>
      </c>
      <c r="F21" s="7">
        <f>C21*D21*E21</f>
        <v/>
      </c>
      <c r="G21" s="8" t="n">
        <v>1</v>
      </c>
      <c r="H21" s="7">
        <f>F21*G21</f>
        <v/>
      </c>
    </row>
    <row r="22">
      <c r="A22" s="4" t="n">
        <v>18</v>
      </c>
      <c r="B22" s="5" t="inlineStr">
        <is>
          <t>Teatro casa</t>
        </is>
      </c>
      <c r="C22" s="6" t="n">
        <v>1</v>
      </c>
      <c r="D22" s="6" t="n">
        <v>150</v>
      </c>
      <c r="E22" s="6" t="n">
        <v>3</v>
      </c>
      <c r="F22" s="7">
        <f>C22*D22*E22</f>
        <v/>
      </c>
      <c r="G22" s="8" t="n">
        <v>1</v>
      </c>
      <c r="H22" s="7">
        <f>F22*G22</f>
        <v/>
      </c>
    </row>
    <row r="23">
      <c r="A23" s="9" t="inlineStr">
        <is>
          <t>TOTAL CONSUMO DIARIO</t>
        </is>
      </c>
      <c r="B23" s="10" t="n"/>
      <c r="C23" s="10" t="n"/>
      <c r="D23" s="10" t="n"/>
      <c r="E23" s="11" t="n"/>
      <c r="F23" s="12">
        <f>SUM(F5:F22)</f>
        <v/>
      </c>
      <c r="G23" s="13" t="n"/>
      <c r="H23" s="12">
        <f>SUM(H5:H22)</f>
        <v/>
      </c>
    </row>
    <row r="24"/>
    <row r="25">
      <c r="A25" s="14" t="inlineStr">
        <is>
          <t>⚙️ CONFIGURACIÓN DEL SISTEMA (Use flechas 🔽 para seleccionar)</t>
        </is>
      </c>
    </row>
    <row r="26">
      <c r="B26" s="15" t="inlineStr">
        <is>
          <t>PARÁMETRO</t>
        </is>
      </c>
      <c r="C26" s="11" t="n"/>
      <c r="D26" s="4" t="inlineStr">
        <is>
          <t>VALOR</t>
        </is>
      </c>
      <c r="E26" s="4" t="inlineStr">
        <is>
          <t>UNIDAD</t>
        </is>
      </c>
      <c r="F26" s="16" t="inlineStr">
        <is>
          <t>DESCRIPCIÓN</t>
        </is>
      </c>
      <c r="G26" s="10" t="n"/>
      <c r="H26" s="10" t="n"/>
    </row>
    <row r="27">
      <c r="B27" s="17" t="inlineStr">
        <is>
          <t>Voltaje del sistema</t>
        </is>
      </c>
      <c r="C27" s="11" t="n"/>
      <c r="D27" s="6" t="n">
        <v>48</v>
      </c>
      <c r="E27" s="4" t="inlineStr">
        <is>
          <t>V</t>
        </is>
      </c>
      <c r="F27" s="16" t="inlineStr">
        <is>
          <t>Seleccione: 12V/24V/48V/96V</t>
        </is>
      </c>
      <c r="G27" s="10" t="n"/>
      <c r="H27" s="10" t="n"/>
    </row>
    <row r="28">
      <c r="B28" s="17" t="inlineStr">
        <is>
          <t>Frecuencia</t>
        </is>
      </c>
      <c r="C28" s="11" t="n"/>
      <c r="D28" s="6" t="n">
        <v>60</v>
      </c>
      <c r="E28" s="4" t="inlineStr">
        <is>
          <t>Hz</t>
        </is>
      </c>
      <c r="F28" s="16" t="inlineStr">
        <is>
          <t>Seleccione: 50Hz o 60Hz</t>
        </is>
      </c>
      <c r="G28" s="10" t="n"/>
      <c r="H28" s="10" t="n"/>
    </row>
    <row r="29">
      <c r="B29" s="17" t="inlineStr">
        <is>
          <t>Tipo de red</t>
        </is>
      </c>
      <c r="C29" s="11" t="n"/>
      <c r="D29" s="6" t="inlineStr">
        <is>
          <t>110V Monofásico</t>
        </is>
      </c>
      <c r="E29" s="4" t="n"/>
      <c r="F29" s="16" t="inlineStr">
        <is>
          <t>Use lista desplegable</t>
        </is>
      </c>
      <c r="G29" s="10" t="n"/>
      <c r="H29" s="10" t="n"/>
    </row>
    <row r="30">
      <c r="B30" s="17" t="inlineStr">
        <is>
          <t>Tipo de inversor</t>
        </is>
      </c>
      <c r="C30" s="11" t="n"/>
      <c r="D30" s="6" t="inlineStr">
        <is>
          <t>Híbrido</t>
        </is>
      </c>
      <c r="E30" s="4" t="n"/>
      <c r="F30" s="16" t="inlineStr">
        <is>
          <t>Use lista desplegable</t>
        </is>
      </c>
      <c r="G30" s="10" t="n"/>
      <c r="H30" s="10" t="n"/>
    </row>
    <row r="31">
      <c r="A31" s="18" t="inlineStr">
        <is>
          <t>☀️ ESPECIFICACIONES DEL PANEL SOLAR</t>
        </is>
      </c>
    </row>
    <row r="32">
      <c r="B32" s="19" t="inlineStr">
        <is>
          <t>PARÁMETRO</t>
        </is>
      </c>
      <c r="C32" s="11" t="n"/>
      <c r="D32" s="4" t="inlineStr">
        <is>
          <t>VALOR</t>
        </is>
      </c>
      <c r="E32" s="4" t="inlineStr">
        <is>
          <t>UNIDAD</t>
        </is>
      </c>
      <c r="F32" s="16" t="inlineStr">
        <is>
          <t>DESCRIPCIÓN</t>
        </is>
      </c>
      <c r="G32" s="10" t="n"/>
      <c r="H32" s="10" t="n"/>
    </row>
    <row r="33">
      <c r="B33" s="17" t="inlineStr">
        <is>
          <t>Potencia nominal (Pmax)</t>
        </is>
      </c>
      <c r="C33" s="11" t="n"/>
      <c r="D33" s="6" t="n">
        <v>400</v>
      </c>
      <c r="E33" s="4" t="inlineStr">
        <is>
          <t>W</t>
        </is>
      </c>
      <c r="F33" s="16" t="inlineStr">
        <is>
          <t>Potencia del panel</t>
        </is>
      </c>
      <c r="G33" s="10" t="n"/>
      <c r="H33" s="10" t="n"/>
    </row>
    <row r="34">
      <c r="B34" s="17" t="inlineStr">
        <is>
          <t>Voltaje en Pmax (Vmp)</t>
        </is>
      </c>
      <c r="C34" s="11" t="n"/>
      <c r="D34" s="20" t="n">
        <v>36.5</v>
      </c>
      <c r="E34" s="4" t="inlineStr">
        <is>
          <t>V</t>
        </is>
      </c>
      <c r="F34" s="16" t="inlineStr">
        <is>
          <t>Voltaje a máxima potencia</t>
        </is>
      </c>
      <c r="G34" s="10" t="n"/>
      <c r="H34" s="10" t="n"/>
    </row>
    <row r="35">
      <c r="B35" s="17" t="inlineStr">
        <is>
          <t>Corriente en Pmax (Imp)</t>
        </is>
      </c>
      <c r="C35" s="11" t="n"/>
      <c r="D35" s="20" t="n">
        <v>10.96</v>
      </c>
      <c r="E35" s="4" t="inlineStr">
        <is>
          <t>A</t>
        </is>
      </c>
      <c r="F35" s="16" t="inlineStr">
        <is>
          <t>Corriente a máxima potencia</t>
        </is>
      </c>
      <c r="G35" s="10" t="n"/>
      <c r="H35" s="10" t="n"/>
    </row>
    <row r="36">
      <c r="B36" s="17" t="inlineStr">
        <is>
          <t>Configuración string</t>
        </is>
      </c>
      <c r="C36" s="11" t="n"/>
      <c r="D36" s="6" t="inlineStr">
        <is>
          <t>Serie</t>
        </is>
      </c>
      <c r="E36" s="4" t="n"/>
      <c r="F36" s="16" t="inlineStr">
        <is>
          <t>Serie o Paralelo</t>
        </is>
      </c>
      <c r="G36" s="10" t="n"/>
      <c r="H36" s="10" t="n"/>
    </row>
    <row r="37">
      <c r="B37" s="17" t="inlineStr">
        <is>
          <t>Paneles por string</t>
        </is>
      </c>
      <c r="C37" s="11" t="n"/>
      <c r="D37" s="6" t="n">
        <v>1</v>
      </c>
      <c r="E37" s="4" t="inlineStr">
        <is>
          <t>unidades</t>
        </is>
      </c>
      <c r="F37" s="16" t="inlineStr">
        <is>
          <t>Cantidad de paneles por string</t>
        </is>
      </c>
      <c r="G37" s="10" t="n"/>
      <c r="H37" s="10" t="n"/>
    </row>
    <row r="38">
      <c r="A38" s="21" t="inlineStr">
        <is>
          <t>🔌 CÁLCULOS DEL STRING DE PANELES</t>
        </is>
      </c>
    </row>
    <row r="39">
      <c r="B39" s="22" t="inlineStr">
        <is>
          <t>PARÁMETRO</t>
        </is>
      </c>
      <c r="C39" s="11" t="n"/>
      <c r="D39" s="4" t="inlineStr">
        <is>
          <t>RESULTADO</t>
        </is>
      </c>
      <c r="E39" s="4" t="inlineStr">
        <is>
          <t>UNIDAD</t>
        </is>
      </c>
      <c r="F39" s="16" t="inlineStr">
        <is>
          <t>FÓRMULA</t>
        </is>
      </c>
      <c r="G39" s="10" t="n"/>
      <c r="H39" s="10" t="n"/>
    </row>
    <row r="40">
      <c r="B40" s="17" t="inlineStr">
        <is>
          <t>Voltaje del string (Vstring)</t>
        </is>
      </c>
      <c r="C40" s="11" t="n"/>
      <c r="D40" s="20" t="n">
        <v>73</v>
      </c>
      <c r="E40" s="4" t="inlineStr">
        <is>
          <t>V</t>
        </is>
      </c>
      <c r="F40" s="16" t="inlineStr">
        <is>
          <t>EDITAR según modelo inversor</t>
        </is>
      </c>
      <c r="G40" s="10" t="n"/>
      <c r="H40" s="10" t="n"/>
    </row>
    <row r="41">
      <c r="B41" s="17" t="inlineStr">
        <is>
          <t>Corriente del string (Istring)</t>
        </is>
      </c>
      <c r="C41" s="11" t="n"/>
      <c r="D41" s="20" t="n">
        <v>10.96</v>
      </c>
      <c r="E41" s="4" t="inlineStr">
        <is>
          <t>A</t>
        </is>
      </c>
      <c r="F41" s="16" t="inlineStr">
        <is>
          <t>EDITAR según modelo inversor</t>
        </is>
      </c>
      <c r="G41" s="10" t="n"/>
      <c r="H41" s="10" t="n"/>
    </row>
    <row r="42">
      <c r="B42" s="17" t="inlineStr">
        <is>
          <t>Potencia del string</t>
        </is>
      </c>
      <c r="C42" s="11" t="n"/>
      <c r="D42" s="20" t="n">
        <v>800</v>
      </c>
      <c r="E42" s="4" t="inlineStr">
        <is>
          <t>W</t>
        </is>
      </c>
      <c r="F42" s="16" t="inlineStr">
        <is>
          <t>EDITAR según configuración</t>
        </is>
      </c>
      <c r="G42" s="10" t="n"/>
      <c r="H42" s="10" t="n"/>
    </row>
    <row r="43">
      <c r="A43" s="23" t="inlineStr">
        <is>
          <t>🔋 PARÁMETROS DE BATERÍAS Y GENERACIÓN</t>
        </is>
      </c>
    </row>
    <row r="44">
      <c r="B44" s="24" t="inlineStr">
        <is>
          <t>PARÁMETRO</t>
        </is>
      </c>
      <c r="C44" s="11" t="n"/>
      <c r="D44" s="4" t="inlineStr">
        <is>
          <t>VALOR</t>
        </is>
      </c>
      <c r="E44" s="4" t="inlineStr">
        <is>
          <t>UNIDAD</t>
        </is>
      </c>
      <c r="F44" s="16" t="inlineStr">
        <is>
          <t>DESCRIPCIÓN</t>
        </is>
      </c>
      <c r="G44" s="10" t="n"/>
      <c r="H44" s="10" t="n"/>
    </row>
    <row r="45">
      <c r="B45" s="17" t="inlineStr">
        <is>
          <t>Días de autonomía</t>
        </is>
      </c>
      <c r="C45" s="11" t="n"/>
      <c r="D45" s="6" t="n">
        <v>1</v>
      </c>
      <c r="E45" s="4" t="inlineStr">
        <is>
          <t>días</t>
        </is>
      </c>
      <c r="F45" s="16" t="inlineStr">
        <is>
          <t>Reserva del banco</t>
        </is>
      </c>
      <c r="G45" s="10" t="n"/>
      <c r="H45" s="10" t="n"/>
    </row>
    <row r="46">
      <c r="B46" s="17" t="inlineStr">
        <is>
          <t>Tipo de batería</t>
        </is>
      </c>
      <c r="C46" s="11" t="n"/>
      <c r="D46" s="6" t="inlineStr">
        <is>
          <t>Litio</t>
        </is>
      </c>
      <c r="E46" s="4" t="n"/>
      <c r="F46" s="16" t="inlineStr">
        <is>
          <t>Use lista desplegable</t>
        </is>
      </c>
      <c r="G46" s="10" t="n"/>
      <c r="H46" s="10" t="n"/>
    </row>
    <row r="47">
      <c r="B47" s="17" t="inlineStr">
        <is>
          <t>Profundidad descarga</t>
        </is>
      </c>
      <c r="C47" s="11" t="n"/>
      <c r="D47" s="20" t="n">
        <v>0.8</v>
      </c>
      <c r="E47" s="4" t="n"/>
      <c r="F47" s="16" t="inlineStr">
        <is>
          <t>Según tipo batería</t>
        </is>
      </c>
      <c r="G47" s="10" t="n"/>
      <c r="H47" s="10" t="n"/>
    </row>
    <row r="48">
      <c r="B48" s="17" t="inlineStr">
        <is>
          <t>Eficiencia inversor</t>
        </is>
      </c>
      <c r="C48" s="11" t="n"/>
      <c r="D48" s="20" t="n">
        <v>0.9</v>
      </c>
      <c r="E48" s="4" t="n"/>
      <c r="F48" s="16" t="inlineStr">
        <is>
          <t>90% típica</t>
        </is>
      </c>
      <c r="G48" s="10" t="n"/>
      <c r="H48" s="10" t="n"/>
    </row>
    <row r="49">
      <c r="B49" s="17" t="inlineStr">
        <is>
          <t>Horas Sol Pico (HSP)</t>
        </is>
      </c>
      <c r="C49" s="11" t="n"/>
      <c r="D49" s="6" t="n">
        <v>5</v>
      </c>
      <c r="E49" s="4" t="inlineStr">
        <is>
          <t>horas</t>
        </is>
      </c>
      <c r="F49" s="16" t="inlineStr">
        <is>
          <t>Según ubicación</t>
        </is>
      </c>
      <c r="G49" s="10" t="n"/>
      <c r="H49" s="10" t="n"/>
    </row>
    <row r="50">
      <c r="B50" s="17" t="inlineStr">
        <is>
          <t>Factor pérdidas</t>
        </is>
      </c>
      <c r="C50" s="11" t="n"/>
      <c r="D50" s="20" t="n">
        <v>0.75</v>
      </c>
      <c r="E50" s="4" t="n"/>
      <c r="F50" s="16" t="inlineStr">
        <is>
          <t>75% útil</t>
        </is>
      </c>
      <c r="G50" s="10" t="n"/>
      <c r="H50" s="10" t="n"/>
    </row>
    <row r="51">
      <c r="A51" s="25" t="inlineStr">
        <is>
          <t>📊 DIMENSIONAMIENTO DEL SISTEMA</t>
        </is>
      </c>
    </row>
    <row r="52">
      <c r="B52" s="26" t="inlineStr">
        <is>
          <t>CÁLCULO</t>
        </is>
      </c>
      <c r="C52" s="11" t="n"/>
      <c r="D52" s="4" t="inlineStr">
        <is>
          <t>RESULTADO</t>
        </is>
      </c>
      <c r="E52" s="4" t="inlineStr">
        <is>
          <t>UNIDAD</t>
        </is>
      </c>
      <c r="F52" s="16" t="inlineStr">
        <is>
          <t>FÓRMULA</t>
        </is>
      </c>
      <c r="G52" s="10" t="n"/>
      <c r="H52" s="10" t="n"/>
    </row>
    <row r="53">
      <c r="B53" s="17" t="inlineStr">
        <is>
          <t>Consumo diario real</t>
        </is>
      </c>
      <c r="C53" s="11" t="n"/>
      <c r="D53" s="27">
        <f>H23</f>
        <v/>
      </c>
      <c r="E53" s="4" t="inlineStr">
        <is>
          <t>Wh/día</t>
        </is>
      </c>
      <c r="F53" s="16" t="inlineStr">
        <is>
          <t>Suma consumos</t>
        </is>
      </c>
      <c r="G53" s="10" t="n"/>
      <c r="H53" s="10" t="n"/>
    </row>
    <row r="54">
      <c r="B54" s="17" t="inlineStr">
        <is>
          <t>Consumo ajustado inv.</t>
        </is>
      </c>
      <c r="C54" s="11" t="n"/>
      <c r="D54" s="27">
        <f>H23/D48</f>
        <v/>
      </c>
      <c r="E54" s="4" t="inlineStr">
        <is>
          <t>Wh/día</t>
        </is>
      </c>
      <c r="F54" s="16" t="inlineStr">
        <is>
          <t>Con eficiencia</t>
        </is>
      </c>
      <c r="G54" s="10" t="n"/>
      <c r="H54" s="10" t="n"/>
    </row>
    <row r="55">
      <c r="B55" s="17" t="inlineStr">
        <is>
          <t>Capacidad banco (Wh)</t>
        </is>
      </c>
      <c r="C55" s="11" t="n"/>
      <c r="D55" s="27">
        <f>(H23*D45)/D47</f>
        <v/>
      </c>
      <c r="E55" s="4" t="inlineStr">
        <is>
          <t>Wh</t>
        </is>
      </c>
      <c r="F55" s="16" t="inlineStr">
        <is>
          <t>Según autonomía</t>
        </is>
      </c>
      <c r="G55" s="10" t="n"/>
      <c r="H55" s="10" t="n"/>
    </row>
    <row r="56">
      <c r="B56" s="17" t="inlineStr">
        <is>
          <t>Capacidad banco (Ah)</t>
        </is>
      </c>
      <c r="C56" s="11" t="n"/>
      <c r="D56" s="27">
        <f>D55/D27</f>
        <v/>
      </c>
      <c r="E56" s="4" t="inlineStr">
        <is>
          <t>Ah</t>
        </is>
      </c>
      <c r="F56" s="16" t="inlineStr">
        <is>
          <t>A voltaje sistema</t>
        </is>
      </c>
      <c r="G56" s="10" t="n"/>
      <c r="H56" s="10" t="n"/>
    </row>
    <row r="57">
      <c r="B57" s="17" t="inlineStr">
        <is>
          <t>Potencia paneles FV</t>
        </is>
      </c>
      <c r="C57" s="11" t="n"/>
      <c r="D57" s="27">
        <f>D54/D49/D50</f>
        <v/>
      </c>
      <c r="E57" s="4" t="inlineStr">
        <is>
          <t>Wp</t>
        </is>
      </c>
      <c r="F57" s="16" t="inlineStr">
        <is>
          <t>Requerida</t>
        </is>
      </c>
      <c r="G57" s="10" t="n"/>
      <c r="H57" s="10" t="n"/>
    </row>
    <row r="58">
      <c r="B58" s="17" t="inlineStr">
        <is>
          <t>Potencia recomendada</t>
        </is>
      </c>
      <c r="C58" s="11" t="n"/>
      <c r="D58" s="27">
        <f>D57*1.2</f>
        <v/>
      </c>
      <c r="E58" s="4" t="inlineStr">
        <is>
          <t>Wp</t>
        </is>
      </c>
      <c r="F58" s="16" t="inlineStr">
        <is>
          <t>Con 20% margen</t>
        </is>
      </c>
      <c r="G58" s="10" t="n"/>
      <c r="H58" s="10" t="n"/>
    </row>
    <row r="59">
      <c r="B59" s="17" t="inlineStr">
        <is>
          <t>Cantidad paneles</t>
        </is>
      </c>
      <c r="C59" s="11" t="n"/>
      <c r="D59" s="27">
        <f>ROUNDUP(D58/D33,0)</f>
        <v/>
      </c>
      <c r="E59" s="4" t="inlineStr">
        <is>
          <t>unidades</t>
        </is>
      </c>
      <c r="F59" s="16" t="inlineStr">
        <is>
          <t>Según potencia</t>
        </is>
      </c>
      <c r="G59" s="10" t="n"/>
      <c r="H59" s="10" t="n"/>
    </row>
    <row r="60">
      <c r="B60" s="17" t="inlineStr">
        <is>
          <t>Número de strings</t>
        </is>
      </c>
      <c r="C60" s="11" t="n"/>
      <c r="D60" s="27">
        <f>ROUNDUP(D59/D37,0)</f>
        <v/>
      </c>
      <c r="E60" s="4" t="inlineStr">
        <is>
          <t>strings</t>
        </is>
      </c>
      <c r="F60" s="16" t="inlineStr">
        <is>
          <t>Paneles necesarios / Paneles por string</t>
        </is>
      </c>
      <c r="G60" s="10" t="n"/>
      <c r="H60" s="10" t="n"/>
    </row>
    <row r="61">
      <c r="B61" s="17" t="inlineStr">
        <is>
          <t>Paneles totales reales</t>
        </is>
      </c>
      <c r="C61" s="11" t="n"/>
      <c r="D61" s="28">
        <f>D60*D37</f>
        <v/>
      </c>
      <c r="E61" s="4" t="inlineStr">
        <is>
          <t>unidades</t>
        </is>
      </c>
      <c r="F61" s="16" t="inlineStr">
        <is>
          <t>Strings × Paneles/string = Total a comprar</t>
        </is>
      </c>
      <c r="G61" s="10" t="n"/>
      <c r="H61" s="10" t="n"/>
    </row>
    <row r="62">
      <c r="B62" s="17" t="inlineStr">
        <is>
          <t>Potencia del inversor</t>
        </is>
      </c>
      <c r="C62" s="11" t="n"/>
      <c r="D62" s="27">
        <f>MAX(D5:D22)*1.25</f>
        <v/>
      </c>
      <c r="E62" s="4" t="inlineStr">
        <is>
          <t>W</t>
        </is>
      </c>
      <c r="F62" s="16" t="inlineStr">
        <is>
          <t>Pico + 25%</t>
        </is>
      </c>
      <c r="G62" s="10" t="n"/>
      <c r="H62" s="10" t="n"/>
    </row>
    <row r="63">
      <c r="B63" s="17" t="inlineStr">
        <is>
          <t>Corriente controlador</t>
        </is>
      </c>
      <c r="C63" s="11" t="n"/>
      <c r="D63" s="27">
        <f>D58/D27*1.25</f>
        <v/>
      </c>
      <c r="E63" s="4" t="inlineStr">
        <is>
          <t>A</t>
        </is>
      </c>
      <c r="F63" s="16" t="inlineStr">
        <is>
          <t>Con margen</t>
        </is>
      </c>
      <c r="G63" s="10" t="n"/>
      <c r="H63" s="10" t="n"/>
    </row>
    <row r="64"/>
    <row r="65">
      <c r="A65" s="29" t="inlineStr">
        <is>
          <t>📄 Para generar INFORME PDF: Vaya a la pestaña "Informe Cliente" y guarde como PDF desde Excel (Archivo → Guardar como → 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LISTA DE MATERIALES - SISTEMA FOTOVOLTAICO</t>
        </is>
      </c>
    </row>
    <row r="2">
      <c r="A2" s="30" t="inlineStr">
        <is>
          <t>Listado completo de componentes, cantidades y especificaciones técnicas</t>
        </is>
      </c>
    </row>
    <row r="3"/>
    <row r="4">
      <c r="A4" s="31" t="inlineStr">
        <is>
          <t>ÍTEM</t>
        </is>
      </c>
      <c r="B4" s="31" t="inlineStr">
        <is>
          <t>CATEGORÍA</t>
        </is>
      </c>
      <c r="C4" s="31" t="inlineStr">
        <is>
          <t>COMPONENTE</t>
        </is>
      </c>
      <c r="D4" s="31" t="inlineStr">
        <is>
          <t>CANTIDAD</t>
        </is>
      </c>
      <c r="E4" s="31" t="inlineStr">
        <is>
          <t>ESPECIFICACIÓN</t>
        </is>
      </c>
      <c r="F4" s="31" t="inlineStr">
        <is>
          <t>UNIDAD</t>
        </is>
      </c>
      <c r="G4" s="31" t="inlineStr">
        <is>
          <t>PRECIO UNIT.</t>
        </is>
      </c>
      <c r="H4" s="31" t="inlineStr">
        <is>
          <t>SUBTOTAL</t>
        </is>
      </c>
    </row>
    <row r="5">
      <c r="A5" s="32" t="n">
        <v>1</v>
      </c>
      <c r="B5" s="33" t="inlineStr">
        <is>
          <t>PANELES SOLARES</t>
        </is>
      </c>
      <c r="C5" s="34" t="inlineStr">
        <is>
          <t>Paneles Fotovoltaicos</t>
        </is>
      </c>
      <c r="D5" s="35">
        <f>Calculadora!D64</f>
        <v/>
      </c>
      <c r="E5" s="36">
        <f>Calculadora!D34&amp;"W - Vmp: "&amp;Calculadora!D35&amp;"V - Imp: "&amp;Calculadora!D36&amp;"A"</f>
        <v/>
      </c>
      <c r="F5" s="37" t="inlineStr">
        <is>
          <t>unidades</t>
        </is>
      </c>
      <c r="G5" s="38" t="n">
        <v>175</v>
      </c>
      <c r="H5" s="39">
        <f>D5*G5</f>
        <v/>
      </c>
    </row>
    <row r="6">
      <c r="A6" s="32" t="n">
        <v>2</v>
      </c>
      <c r="B6" s="33" t="inlineStr">
        <is>
          <t>PANELES SOLARES</t>
        </is>
      </c>
      <c r="C6" s="34" t="inlineStr">
        <is>
          <t>Estructura de montaje</t>
        </is>
      </c>
      <c r="D6" s="35">
        <f>Calculadora!D64</f>
        <v/>
      </c>
      <c r="E6" s="36" t="inlineStr">
        <is>
          <t>Aluminio con tornillería inoxidable</t>
        </is>
      </c>
      <c r="F6" s="37" t="inlineStr">
        <is>
          <t>kit</t>
        </is>
      </c>
      <c r="G6" s="38" t="n">
        <v>15</v>
      </c>
      <c r="H6" s="39">
        <f>D6*G6</f>
        <v/>
      </c>
    </row>
    <row r="7">
      <c r="A7" s="32" t="n">
        <v>3</v>
      </c>
      <c r="B7" s="33" t="inlineStr">
        <is>
          <t>PANELES SOLARES</t>
        </is>
      </c>
      <c r="C7" s="34" t="inlineStr">
        <is>
          <t>Rieles de montaje</t>
        </is>
      </c>
      <c r="D7" s="35">
        <f>ROUNDUP(Calculadora!D64/4,0)*2</f>
        <v/>
      </c>
      <c r="E7" s="36" t="inlineStr">
        <is>
          <t>Riel aluminio 4.2m</t>
        </is>
      </c>
      <c r="F7" s="37" t="inlineStr">
        <is>
          <t>unidades</t>
        </is>
      </c>
      <c r="G7" s="38" t="n">
        <v>25</v>
      </c>
      <c r="H7" s="39">
        <f>D7*G7</f>
        <v/>
      </c>
    </row>
    <row r="8">
      <c r="A8" s="32" t="n">
        <v>4</v>
      </c>
      <c r="B8" s="33" t="inlineStr">
        <is>
          <t>PANELES SOLARES</t>
        </is>
      </c>
      <c r="C8" s="34" t="inlineStr">
        <is>
          <t>Kit de tornillería</t>
        </is>
      </c>
      <c r="D8" s="4" t="n">
        <v>1</v>
      </c>
      <c r="E8" s="36" t="inlineStr">
        <is>
          <t>Tornillos, tuercas, arandelas inox</t>
        </is>
      </c>
      <c r="F8" s="37" t="inlineStr">
        <is>
          <t>kit</t>
        </is>
      </c>
      <c r="G8" s="38" t="n">
        <v>50</v>
      </c>
      <c r="H8" s="39">
        <f>D8*G8</f>
        <v/>
      </c>
    </row>
    <row r="9">
      <c r="A9" s="32" t="n">
        <v>5</v>
      </c>
      <c r="B9" s="33" t="inlineStr">
        <is>
          <t>INVERSOR</t>
        </is>
      </c>
      <c r="C9" s="34" t="inlineStr">
        <is>
          <t>Inversor híbrido</t>
        </is>
      </c>
      <c r="D9" s="4" t="n">
        <v>1</v>
      </c>
      <c r="E9" s="36">
        <f>ROUND(Calculadora!D66/1000,1)&amp;"kW @ "&amp;Calculadora!D27&amp;"V - "&amp;Calculadora!D29</f>
        <v/>
      </c>
      <c r="F9" s="37" t="inlineStr">
        <is>
          <t>unidad</t>
        </is>
      </c>
      <c r="G9" s="38" t="n">
        <v>1500</v>
      </c>
      <c r="H9" s="39">
        <f>D9*G9</f>
        <v/>
      </c>
    </row>
    <row r="10">
      <c r="A10" s="32" t="n">
        <v>6</v>
      </c>
      <c r="B10" s="33" t="inlineStr">
        <is>
          <t>INVERSOR</t>
        </is>
      </c>
      <c r="C10" s="34" t="inlineStr">
        <is>
          <t>Controlador de carga MPPT</t>
        </is>
      </c>
      <c r="D10" s="4" t="n">
        <v>1</v>
      </c>
      <c r="E10" s="36">
        <f>ROUND(Calculadora!D67,0)&amp;"A para "&amp;Calculadora!D27&amp;"V"</f>
        <v/>
      </c>
      <c r="F10" s="37" t="inlineStr">
        <is>
          <t>unidad</t>
        </is>
      </c>
      <c r="G10" s="38" t="n">
        <v>400</v>
      </c>
      <c r="H10" s="39">
        <f>D10*G10</f>
        <v/>
      </c>
    </row>
    <row r="11">
      <c r="A11" s="32" t="n">
        <v>7</v>
      </c>
      <c r="B11" s="33" t="inlineStr">
        <is>
          <t>BATERÍAS</t>
        </is>
      </c>
      <c r="C11" s="34" t="inlineStr">
        <is>
          <t>Banco de baterías</t>
        </is>
      </c>
      <c r="D11" s="35">
        <f>ROUNDUP(Calculadora!D61/200,0)</f>
        <v/>
      </c>
      <c r="E11" s="36">
        <f>Calculadora!D48&amp;" - 200Ah - "&amp;Calculadora!D27&amp;"V"</f>
        <v/>
      </c>
      <c r="F11" s="37" t="inlineStr">
        <is>
          <t>unidades</t>
        </is>
      </c>
      <c r="G11" s="38" t="n">
        <v>550</v>
      </c>
      <c r="H11" s="39">
        <f>D11*G11</f>
        <v/>
      </c>
    </row>
    <row r="12">
      <c r="A12" s="32" t="n">
        <v>8</v>
      </c>
      <c r="B12" s="33" t="inlineStr">
        <is>
          <t>BATERÍAS</t>
        </is>
      </c>
      <c r="C12" s="34" t="inlineStr">
        <is>
          <t>Cables de interconexión baterías</t>
        </is>
      </c>
      <c r="D12" s="35">
        <f>ROUNDUP(Calculadora!D61/200,0)+1</f>
        <v/>
      </c>
      <c r="E12" s="36" t="inlineStr">
        <is>
          <t>Cable 2/0 AWG, 1m c/u</t>
        </is>
      </c>
      <c r="F12" s="37" t="inlineStr">
        <is>
          <t>unidades</t>
        </is>
      </c>
      <c r="G12" s="38" t="n">
        <v>15</v>
      </c>
      <c r="H12" s="39">
        <f>D12*G12</f>
        <v/>
      </c>
    </row>
    <row r="13">
      <c r="A13" s="32" t="n">
        <v>9</v>
      </c>
      <c r="B13" s="33" t="inlineStr">
        <is>
          <t>BATERÍAS</t>
        </is>
      </c>
      <c r="C13" s="34" t="inlineStr">
        <is>
          <t>Terminales y conectores</t>
        </is>
      </c>
      <c r="D13" s="4" t="n">
        <v>1</v>
      </c>
      <c r="E13" s="36" t="inlineStr">
        <is>
          <t>Kit completo para baterías</t>
        </is>
      </c>
      <c r="F13" s="37" t="inlineStr">
        <is>
          <t>kit</t>
        </is>
      </c>
      <c r="G13" s="38" t="n">
        <v>40</v>
      </c>
      <c r="H13" s="39">
        <f>D13*G13</f>
        <v/>
      </c>
    </row>
    <row r="14">
      <c r="A14" s="32" t="n">
        <v>10</v>
      </c>
      <c r="B14" s="33" t="inlineStr">
        <is>
          <t>CABLEADO DC</t>
        </is>
      </c>
      <c r="C14" s="34" t="inlineStr">
        <is>
          <t>Cable solar DC 10AWG</t>
        </is>
      </c>
      <c r="D14" s="4" t="n">
        <v>1</v>
      </c>
      <c r="E14" s="36" t="inlineStr">
        <is>
          <t>50 metros</t>
        </is>
      </c>
      <c r="F14" s="37" t="inlineStr">
        <is>
          <t>rollo</t>
        </is>
      </c>
      <c r="G14" s="38" t="n">
        <v>250</v>
      </c>
      <c r="H14" s="39">
        <f>D14*G14</f>
        <v/>
      </c>
    </row>
    <row r="15">
      <c r="A15" s="32" t="n">
        <v>11</v>
      </c>
      <c r="B15" s="33" t="inlineStr">
        <is>
          <t>CABLEADO DC</t>
        </is>
      </c>
      <c r="C15" s="34" t="inlineStr">
        <is>
          <t>Conectores MC4</t>
        </is>
      </c>
      <c r="D15" s="35">
        <f>Calculadora!D64*2</f>
        <v/>
      </c>
      <c r="E15" s="36" t="inlineStr">
        <is>
          <t>Macho y hembra</t>
        </is>
      </c>
      <c r="F15" s="37" t="inlineStr">
        <is>
          <t>pares</t>
        </is>
      </c>
      <c r="G15" s="38" t="n">
        <v>3</v>
      </c>
      <c r="H15" s="39">
        <f>D15*G15</f>
        <v/>
      </c>
    </row>
    <row r="16">
      <c r="A16" s="32" t="n">
        <v>12</v>
      </c>
      <c r="B16" s="33" t="inlineStr">
        <is>
          <t>CABLEADO DC</t>
        </is>
      </c>
      <c r="C16" s="34" t="inlineStr">
        <is>
          <t>Cable 8AWG baterías-inversor</t>
        </is>
      </c>
      <c r="D16" s="4" t="n">
        <v>1</v>
      </c>
      <c r="E16" s="36" t="inlineStr">
        <is>
          <t>10 metros</t>
        </is>
      </c>
      <c r="F16" s="37" t="inlineStr">
        <is>
          <t>rollo</t>
        </is>
      </c>
      <c r="G16" s="38" t="n">
        <v>80</v>
      </c>
      <c r="H16" s="39">
        <f>D16*G16</f>
        <v/>
      </c>
    </row>
    <row r="17">
      <c r="A17" s="32" t="n">
        <v>13</v>
      </c>
      <c r="B17" s="33" t="inlineStr">
        <is>
          <t>CABLEADO DC</t>
        </is>
      </c>
      <c r="C17" s="34" t="inlineStr">
        <is>
          <t>Fusibles DC</t>
        </is>
      </c>
      <c r="D17" s="35">
        <f>Calculadora!D65</f>
        <v/>
      </c>
      <c r="E17" s="36">
        <f>ROUND(Calculadora!D42*1.25,0)&amp;"A por string"</f>
        <v/>
      </c>
      <c r="F17" s="37" t="inlineStr">
        <is>
          <t>unidades</t>
        </is>
      </c>
      <c r="G17" s="38" t="n">
        <v>8</v>
      </c>
      <c r="H17" s="39">
        <f>D17*G17</f>
        <v/>
      </c>
    </row>
    <row r="18">
      <c r="A18" s="32" t="n">
        <v>14</v>
      </c>
      <c r="B18" s="33" t="inlineStr">
        <is>
          <t>CABLEADO AC</t>
        </is>
      </c>
      <c r="C18" s="34" t="inlineStr">
        <is>
          <t>Cable THW 10AWG</t>
        </is>
      </c>
      <c r="D18" s="4" t="n">
        <v>1</v>
      </c>
      <c r="E18" s="36" t="inlineStr">
        <is>
          <t>30 metros entrada/salida</t>
        </is>
      </c>
      <c r="F18" s="37" t="inlineStr">
        <is>
          <t>rollo</t>
        </is>
      </c>
      <c r="G18" s="38" t="n">
        <v>150</v>
      </c>
      <c r="H18" s="39">
        <f>D18*G18</f>
        <v/>
      </c>
    </row>
    <row r="19">
      <c r="A19" s="32" t="n">
        <v>15</v>
      </c>
      <c r="B19" s="33" t="inlineStr">
        <is>
          <t>CABLEADO AC</t>
        </is>
      </c>
      <c r="C19" s="34" t="inlineStr">
        <is>
          <t>Cable tierra 8AWG</t>
        </is>
      </c>
      <c r="D19" s="4" t="n">
        <v>1</v>
      </c>
      <c r="E19" s="36" t="inlineStr">
        <is>
          <t>40 metros</t>
        </is>
      </c>
      <c r="F19" s="37" t="inlineStr">
        <is>
          <t>rollo</t>
        </is>
      </c>
      <c r="G19" s="38" t="n">
        <v>80</v>
      </c>
      <c r="H19" s="39">
        <f>D19*G19</f>
        <v/>
      </c>
    </row>
    <row r="20">
      <c r="A20" s="32" t="n">
        <v>16</v>
      </c>
      <c r="B20" s="33" t="inlineStr">
        <is>
          <t>CABLEADO AC</t>
        </is>
      </c>
      <c r="C20" s="34" t="inlineStr">
        <is>
          <t>Ductos y canaletas</t>
        </is>
      </c>
      <c r="D20" s="4" t="n">
        <v>1</v>
      </c>
      <c r="E20" s="36" t="inlineStr">
        <is>
          <t>20 metros</t>
        </is>
      </c>
      <c r="F20" s="37" t="inlineStr">
        <is>
          <t>lote</t>
        </is>
      </c>
      <c r="G20" s="38" t="n">
        <v>100</v>
      </c>
      <c r="H20" s="39">
        <f>D20*G20</f>
        <v/>
      </c>
    </row>
    <row r="21">
      <c r="A21" s="32" t="n">
        <v>17</v>
      </c>
      <c r="B21" s="33" t="inlineStr">
        <is>
          <t>PROTECCIONES</t>
        </is>
      </c>
      <c r="C21" s="34" t="inlineStr">
        <is>
          <t>Breakers DC</t>
        </is>
      </c>
      <c r="D21" s="35">
        <f>Calculadora!D65</f>
        <v/>
      </c>
      <c r="E21" s="36" t="inlineStr">
        <is>
          <t>Para protección strings</t>
        </is>
      </c>
      <c r="F21" s="37" t="inlineStr">
        <is>
          <t>unidades</t>
        </is>
      </c>
      <c r="G21" s="38" t="n">
        <v>25</v>
      </c>
      <c r="H21" s="39">
        <f>D21*G21</f>
        <v/>
      </c>
    </row>
    <row r="22">
      <c r="A22" s="32" t="n">
        <v>18</v>
      </c>
      <c r="B22" s="33" t="inlineStr">
        <is>
          <t>PROTECCIONES</t>
        </is>
      </c>
      <c r="C22" s="34" t="inlineStr">
        <is>
          <t>Breaker principal DC</t>
        </is>
      </c>
      <c r="D22" s="4" t="n">
        <v>1</v>
      </c>
      <c r="E22" s="36">
        <f>ROUND(Calculadora!D67,0)&amp;"A bipolar"</f>
        <v/>
      </c>
      <c r="F22" s="37" t="inlineStr">
        <is>
          <t>unidad</t>
        </is>
      </c>
      <c r="G22" s="38" t="n">
        <v>45</v>
      </c>
      <c r="H22" s="39">
        <f>D22*G22</f>
        <v/>
      </c>
    </row>
    <row r="23">
      <c r="A23" s="32" t="n">
        <v>19</v>
      </c>
      <c r="B23" s="33" t="inlineStr">
        <is>
          <t>PROTECCIONES</t>
        </is>
      </c>
      <c r="C23" s="34" t="inlineStr">
        <is>
          <t>Breaker AC entrada</t>
        </is>
      </c>
      <c r="D23" s="4" t="n">
        <v>1</v>
      </c>
      <c r="E23" s="36" t="inlineStr">
        <is>
          <t>Según red eléctrica</t>
        </is>
      </c>
      <c r="F23" s="37" t="inlineStr">
        <is>
          <t>unidad</t>
        </is>
      </c>
      <c r="G23" s="38" t="n">
        <v>30</v>
      </c>
      <c r="H23" s="39">
        <f>D23*G23</f>
        <v/>
      </c>
    </row>
    <row r="24">
      <c r="A24" s="32" t="n">
        <v>20</v>
      </c>
      <c r="B24" s="33" t="inlineStr">
        <is>
          <t>PROTECCIONES</t>
        </is>
      </c>
      <c r="C24" s="34" t="inlineStr">
        <is>
          <t>Breaker AC salida</t>
        </is>
      </c>
      <c r="D24" s="4" t="n">
        <v>1</v>
      </c>
      <c r="E24" s="36" t="inlineStr">
        <is>
          <t>Protección cargas</t>
        </is>
      </c>
      <c r="F24" s="37" t="inlineStr">
        <is>
          <t>unidad</t>
        </is>
      </c>
      <c r="G24" s="38" t="n">
        <v>30</v>
      </c>
      <c r="H24" s="39">
        <f>D24*G24</f>
        <v/>
      </c>
    </row>
    <row r="25">
      <c r="A25" s="32" t="n">
        <v>21</v>
      </c>
      <c r="B25" s="33" t="inlineStr">
        <is>
          <t>PROTECCIONES</t>
        </is>
      </c>
      <c r="C25" s="34" t="inlineStr">
        <is>
          <t>Supresor de picos (SPD)</t>
        </is>
      </c>
      <c r="D25" s="4" t="n">
        <v>2</v>
      </c>
      <c r="E25" s="36" t="inlineStr">
        <is>
          <t>DC y AC</t>
        </is>
      </c>
      <c r="F25" s="37" t="inlineStr">
        <is>
          <t>unidades</t>
        </is>
      </c>
      <c r="G25" s="38" t="n">
        <v>80</v>
      </c>
      <c r="H25" s="39">
        <f>D25*G25</f>
        <v/>
      </c>
    </row>
    <row r="26">
      <c r="A26" s="32" t="n">
        <v>22</v>
      </c>
      <c r="B26" s="33" t="inlineStr">
        <is>
          <t>TABLEROS</t>
        </is>
      </c>
      <c r="C26" s="34" t="inlineStr">
        <is>
          <t>Tablero de distribución DC</t>
        </is>
      </c>
      <c r="D26" s="4" t="n">
        <v>1</v>
      </c>
      <c r="E26" s="36" t="inlineStr">
        <is>
          <t>Con espacio para breakers</t>
        </is>
      </c>
      <c r="F26" s="37" t="inlineStr">
        <is>
          <t>unidad</t>
        </is>
      </c>
      <c r="G26" s="38" t="n">
        <v>120</v>
      </c>
      <c r="H26" s="39">
        <f>D26*G26</f>
        <v/>
      </c>
    </row>
    <row r="27">
      <c r="A27" s="32" t="n">
        <v>23</v>
      </c>
      <c r="B27" s="33" t="inlineStr">
        <is>
          <t>TABLEROS</t>
        </is>
      </c>
      <c r="C27" s="34" t="inlineStr">
        <is>
          <t>Tablero de distribución AC</t>
        </is>
      </c>
      <c r="D27" s="4" t="n">
        <v>1</v>
      </c>
      <c r="E27" s="36" t="inlineStr">
        <is>
          <t>Con espacio para breakers</t>
        </is>
      </c>
      <c r="F27" s="37" t="inlineStr">
        <is>
          <t>unidad</t>
        </is>
      </c>
      <c r="G27" s="38" t="n">
        <v>100</v>
      </c>
      <c r="H27" s="39">
        <f>D27*G27</f>
        <v/>
      </c>
    </row>
    <row r="28">
      <c r="A28" s="32" t="n">
        <v>24</v>
      </c>
      <c r="B28" s="33" t="inlineStr">
        <is>
          <t>TABLEROS</t>
        </is>
      </c>
      <c r="C28" s="34" t="inlineStr">
        <is>
          <t>Gabinete para inversor</t>
        </is>
      </c>
      <c r="D28" s="4" t="n">
        <v>1</v>
      </c>
      <c r="E28" s="36" t="inlineStr">
        <is>
          <t>Metálico con ventilación</t>
        </is>
      </c>
      <c r="F28" s="37" t="inlineStr">
        <is>
          <t>unidad</t>
        </is>
      </c>
      <c r="G28" s="38" t="n">
        <v>150</v>
      </c>
      <c r="H28" s="39">
        <f>D28*G28</f>
        <v/>
      </c>
    </row>
    <row r="29">
      <c r="A29" s="32" t="n">
        <v>25</v>
      </c>
      <c r="B29" s="33" t="inlineStr">
        <is>
          <t>PUESTA A TIERRA</t>
        </is>
      </c>
      <c r="C29" s="34" t="inlineStr">
        <is>
          <t>Varilla cooperweld</t>
        </is>
      </c>
      <c r="D29" s="4" t="n">
        <v>2</v>
      </c>
      <c r="E29" s="36" t="inlineStr">
        <is>
          <t>1.8m x 5/8"</t>
        </is>
      </c>
      <c r="F29" s="37" t="inlineStr">
        <is>
          <t>unidades</t>
        </is>
      </c>
      <c r="G29" s="38" t="n">
        <v>25</v>
      </c>
      <c r="H29" s="39">
        <f>D29*G29</f>
        <v/>
      </c>
    </row>
    <row r="30">
      <c r="A30" s="32" t="n">
        <v>26</v>
      </c>
      <c r="B30" s="33" t="inlineStr">
        <is>
          <t>PUESTA A TIERRA</t>
        </is>
      </c>
      <c r="C30" s="34" t="inlineStr">
        <is>
          <t>Conector varilla-cable</t>
        </is>
      </c>
      <c r="D30" s="4" t="n">
        <v>2</v>
      </c>
      <c r="E30" s="36" t="inlineStr">
        <is>
          <t>Bronce</t>
        </is>
      </c>
      <c r="F30" s="37" t="inlineStr">
        <is>
          <t>unidades</t>
        </is>
      </c>
      <c r="G30" s="38" t="n">
        <v>8</v>
      </c>
      <c r="H30" s="39">
        <f>D30*G30</f>
        <v/>
      </c>
    </row>
    <row r="31">
      <c r="A31" s="32" t="n">
        <v>27</v>
      </c>
      <c r="B31" s="33" t="inlineStr">
        <is>
          <t>PUESTA A TIERRA</t>
        </is>
      </c>
      <c r="C31" s="34" t="inlineStr">
        <is>
          <t>Cemento conductivo</t>
        </is>
      </c>
      <c r="D31" s="4" t="n">
        <v>2</v>
      </c>
      <c r="E31" s="36" t="inlineStr">
        <is>
          <t>Bolsa 25kg</t>
        </is>
      </c>
      <c r="F31" s="37" t="inlineStr">
        <is>
          <t>bolsas</t>
        </is>
      </c>
      <c r="G31" s="38" t="n">
        <v>20</v>
      </c>
      <c r="H31" s="39">
        <f>D31*G31</f>
        <v/>
      </c>
    </row>
    <row r="32">
      <c r="A32" s="32" t="n">
        <v>28</v>
      </c>
      <c r="B32" s="33" t="inlineStr">
        <is>
          <t>MATERIALES VARIOS</t>
        </is>
      </c>
      <c r="C32" s="34" t="inlineStr">
        <is>
          <t>Etiquetas identificación</t>
        </is>
      </c>
      <c r="D32" s="4" t="n">
        <v>1</v>
      </c>
      <c r="E32" s="36" t="inlineStr">
        <is>
          <t>Para cables y equipos</t>
        </is>
      </c>
      <c r="F32" s="37" t="inlineStr">
        <is>
          <t>kit</t>
        </is>
      </c>
      <c r="G32" s="38" t="n">
        <v>15</v>
      </c>
      <c r="H32" s="39">
        <f>D32*G32</f>
        <v/>
      </c>
    </row>
    <row r="33">
      <c r="A33" s="32" t="n">
        <v>29</v>
      </c>
      <c r="B33" s="33" t="inlineStr">
        <is>
          <t>MATERIALES VARIOS</t>
        </is>
      </c>
      <c r="C33" s="34" t="inlineStr">
        <is>
          <t>Silicón sellante</t>
        </is>
      </c>
      <c r="D33" s="4" t="n">
        <v>2</v>
      </c>
      <c r="E33" s="36" t="inlineStr">
        <is>
          <t>Para impermeabilización</t>
        </is>
      </c>
      <c r="F33" s="37" t="inlineStr">
        <is>
          <t>tubos</t>
        </is>
      </c>
      <c r="G33" s="38" t="n">
        <v>12</v>
      </c>
      <c r="H33" s="39">
        <f>D33*G33</f>
        <v/>
      </c>
    </row>
    <row r="34">
      <c r="A34" s="32" t="n">
        <v>30</v>
      </c>
      <c r="B34" s="33" t="inlineStr">
        <is>
          <t>MATERIALES VARIOS</t>
        </is>
      </c>
      <c r="C34" s="34" t="inlineStr">
        <is>
          <t>Cinta aislante</t>
        </is>
      </c>
      <c r="D34" s="4" t="n">
        <v>4</v>
      </c>
      <c r="E34" s="36" t="inlineStr">
        <is>
          <t>Alta temperatura</t>
        </is>
      </c>
      <c r="F34" s="37" t="inlineStr">
        <is>
          <t>rollos</t>
        </is>
      </c>
      <c r="G34" s="38" t="n">
        <v>5</v>
      </c>
      <c r="H34" s="39">
        <f>D34*G34</f>
        <v/>
      </c>
    </row>
    <row r="35">
      <c r="A35" s="32" t="n">
        <v>31</v>
      </c>
      <c r="B35" s="33" t="inlineStr">
        <is>
          <t>MATERIALES VARIOS</t>
        </is>
      </c>
      <c r="C35" s="34" t="inlineStr">
        <is>
          <t>Amarras plásticas UV</t>
        </is>
      </c>
      <c r="D35" s="4" t="n">
        <v>1</v>
      </c>
      <c r="E35" s="36" t="inlineStr">
        <is>
          <t>Pack 100 unidades</t>
        </is>
      </c>
      <c r="F35" s="37" t="inlineStr">
        <is>
          <t>pack</t>
        </is>
      </c>
      <c r="G35" s="38" t="n">
        <v>8</v>
      </c>
      <c r="H35" s="39">
        <f>D35*G35</f>
        <v/>
      </c>
    </row>
    <row r="36">
      <c r="A36" s="32" t="n">
        <v>32</v>
      </c>
      <c r="B36" s="33" t="inlineStr">
        <is>
          <t>MATERIALES VARIOS</t>
        </is>
      </c>
      <c r="C36" s="34" t="inlineStr">
        <is>
          <t>Abrazaderas metálicas</t>
        </is>
      </c>
      <c r="D36" s="4" t="n">
        <v>1</v>
      </c>
      <c r="E36" s="36" t="inlineStr">
        <is>
          <t>Varias medidas</t>
        </is>
      </c>
      <c r="F36" s="37" t="inlineStr">
        <is>
          <t>kit</t>
        </is>
      </c>
      <c r="G36" s="38" t="n">
        <v>25</v>
      </c>
      <c r="H36" s="39">
        <f>D36*G36</f>
        <v/>
      </c>
    </row>
    <row r="37"/>
    <row r="38">
      <c r="A38" s="40" t="inlineStr">
        <is>
          <t>SUBTOTAL PANELES SOLARES</t>
        </is>
      </c>
      <c r="B38" s="10" t="n"/>
      <c r="C38" s="10" t="n"/>
      <c r="D38" s="10" t="n"/>
      <c r="E38" s="10" t="n"/>
      <c r="F38" s="10" t="n"/>
      <c r="G38" s="11" t="n"/>
      <c r="H38" s="41">
        <f>SUM(H5:H8)</f>
        <v/>
      </c>
    </row>
    <row r="39">
      <c r="A39" s="40" t="inlineStr">
        <is>
          <t>SUBTOTAL INVERSOR</t>
        </is>
      </c>
      <c r="B39" s="10" t="n"/>
      <c r="C39" s="10" t="n"/>
      <c r="D39" s="10" t="n"/>
      <c r="E39" s="10" t="n"/>
      <c r="F39" s="10" t="n"/>
      <c r="G39" s="11" t="n"/>
      <c r="H39" s="41">
        <f>SUM(H9:H10)</f>
        <v/>
      </c>
    </row>
    <row r="40">
      <c r="A40" s="40" t="inlineStr">
        <is>
          <t>SUBTOTAL BATERÍAS</t>
        </is>
      </c>
      <c r="B40" s="10" t="n"/>
      <c r="C40" s="10" t="n"/>
      <c r="D40" s="10" t="n"/>
      <c r="E40" s="10" t="n"/>
      <c r="F40" s="10" t="n"/>
      <c r="G40" s="11" t="n"/>
      <c r="H40" s="41">
        <f>SUM(H11:H13)</f>
        <v/>
      </c>
    </row>
    <row r="41">
      <c r="A41" s="40" t="inlineStr">
        <is>
          <t>SUBTOTAL CABLEADO DC</t>
        </is>
      </c>
      <c r="B41" s="10" t="n"/>
      <c r="C41" s="10" t="n"/>
      <c r="D41" s="10" t="n"/>
      <c r="E41" s="10" t="n"/>
      <c r="F41" s="10" t="n"/>
      <c r="G41" s="11" t="n"/>
      <c r="H41" s="41">
        <f>SUM(H14:H17)</f>
        <v/>
      </c>
    </row>
    <row r="42">
      <c r="A42" s="40" t="inlineStr">
        <is>
          <t>SUBTOTAL CABLEADO AC</t>
        </is>
      </c>
      <c r="B42" s="10" t="n"/>
      <c r="C42" s="10" t="n"/>
      <c r="D42" s="10" t="n"/>
      <c r="E42" s="10" t="n"/>
      <c r="F42" s="10" t="n"/>
      <c r="G42" s="11" t="n"/>
      <c r="H42" s="41">
        <f>SUM(H18:H20)</f>
        <v/>
      </c>
    </row>
    <row r="43">
      <c r="A43" s="40" t="inlineStr">
        <is>
          <t>SUBTOTAL PROTECCIONES</t>
        </is>
      </c>
      <c r="B43" s="10" t="n"/>
      <c r="C43" s="10" t="n"/>
      <c r="D43" s="10" t="n"/>
      <c r="E43" s="10" t="n"/>
      <c r="F43" s="10" t="n"/>
      <c r="G43" s="11" t="n"/>
      <c r="H43" s="41">
        <f>SUM(H21:H25)</f>
        <v/>
      </c>
    </row>
    <row r="44">
      <c r="A44" s="40" t="inlineStr">
        <is>
          <t>SUBTOTAL TABLEROS</t>
        </is>
      </c>
      <c r="B44" s="10" t="n"/>
      <c r="C44" s="10" t="n"/>
      <c r="D44" s="10" t="n"/>
      <c r="E44" s="10" t="n"/>
      <c r="F44" s="10" t="n"/>
      <c r="G44" s="11" t="n"/>
      <c r="H44" s="41">
        <f>SUM(H26:H28)</f>
        <v/>
      </c>
    </row>
    <row r="45">
      <c r="A45" s="40" t="inlineStr">
        <is>
          <t>SUBTOTAL PUESTA A TIERRA</t>
        </is>
      </c>
      <c r="B45" s="10" t="n"/>
      <c r="C45" s="10" t="n"/>
      <c r="D45" s="10" t="n"/>
      <c r="E45" s="10" t="n"/>
      <c r="F45" s="10" t="n"/>
      <c r="G45" s="11" t="n"/>
      <c r="H45" s="41">
        <f>SUM(H29:H31)</f>
        <v/>
      </c>
    </row>
    <row r="46">
      <c r="A46" s="40" t="inlineStr">
        <is>
          <t>SUBTOTAL MATERIALES VARIOS</t>
        </is>
      </c>
      <c r="B46" s="10" t="n"/>
      <c r="C46" s="10" t="n"/>
      <c r="D46" s="10" t="n"/>
      <c r="E46" s="10" t="n"/>
      <c r="F46" s="10" t="n"/>
      <c r="G46" s="11" t="n"/>
      <c r="H46" s="41">
        <f>SUM(H32:H36)</f>
        <v/>
      </c>
    </row>
    <row r="47"/>
    <row r="48">
      <c r="A48" s="42" t="inlineStr">
        <is>
          <t>TOTAL MATERIALES Y COMPONENTES</t>
        </is>
      </c>
      <c r="B48" s="10" t="n"/>
      <c r="C48" s="10" t="n"/>
      <c r="D48" s="10" t="n"/>
      <c r="E48" s="10" t="n"/>
      <c r="F48" s="10" t="n"/>
      <c r="G48" s="11" t="n"/>
      <c r="H48" s="43">
        <f>SUM(H5:H36)</f>
        <v/>
      </c>
    </row>
    <row r="49">
      <c r="A49" s="44" t="inlineStr">
        <is>
          <t>MANO DE OBRA INSTALACIÓN</t>
        </is>
      </c>
      <c r="B49" s="10" t="n"/>
      <c r="C49" s="10" t="n"/>
      <c r="D49" s="10" t="n"/>
      <c r="E49" s="10" t="n"/>
      <c r="F49" s="10" t="n"/>
      <c r="G49" s="11" t="n"/>
      <c r="H49" s="45" t="n">
        <v>2500</v>
      </c>
    </row>
    <row r="50">
      <c r="A50" s="46" t="inlineStr">
        <is>
          <t>💵 INVERSIÓN TOTAL DEL PROYECTO</t>
        </is>
      </c>
      <c r="B50" s="10" t="n"/>
      <c r="C50" s="10" t="n"/>
      <c r="D50" s="10" t="n"/>
      <c r="E50" s="10" t="n"/>
      <c r="F50" s="10" t="n"/>
      <c r="G50" s="11" t="n"/>
      <c r="H50" s="47">
        <f>H48+H49</f>
        <v/>
      </c>
    </row>
    <row r="51"/>
    <row r="52">
      <c r="A52" s="48" t="inlineStr">
        <is>
          <t>📝 NOTAS: Precios unitarios son referenciales. Ajuste según proveedores locales. Cantidades calculadas automáticamente.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INFORME TÉCNICO</t>
        </is>
      </c>
    </row>
    <row r="2">
      <c r="A2" s="50" t="inlineStr">
        <is>
          <t>SISTEMA FOTOVOLTAICO DE AUTOCONSUMO</t>
        </is>
      </c>
    </row>
    <row r="3"/>
    <row r="4">
      <c r="A4" s="51" t="inlineStr">
        <is>
          <t>DATOS DEL CLIENTE</t>
        </is>
      </c>
    </row>
    <row r="5">
      <c r="A5" s="52" t="inlineStr">
        <is>
          <t>Nombre:</t>
        </is>
      </c>
      <c r="B5" s="53" t="inlineStr">
        <is>
          <t>Cliente</t>
        </is>
      </c>
    </row>
    <row r="6">
      <c r="A6" s="52" t="inlineStr">
        <is>
          <t>Email:</t>
        </is>
      </c>
      <c r="B6" s="53" t="inlineStr">
        <is>
          <t>apolivera1973@gmail.com</t>
        </is>
      </c>
    </row>
    <row r="7">
      <c r="A7" s="52" t="inlineStr">
        <is>
          <t>Teléfono:</t>
        </is>
      </c>
      <c r="B7" s="53" t="n"/>
    </row>
    <row r="8">
      <c r="A8" s="52" t="inlineStr">
        <is>
          <t>Dirección:</t>
        </is>
      </c>
      <c r="B8" s="53" t="n"/>
    </row>
    <row r="9">
      <c r="A9" s="52" t="inlineStr">
        <is>
          <t>Fecha:</t>
        </is>
      </c>
      <c r="B9" s="53">
        <f>TODAY()</f>
        <v/>
      </c>
    </row>
    <row r="10">
      <c r="A10" s="54" t="inlineStr">
        <is>
          <t>CONFIGURACIÓN DEL SISTEMA</t>
        </is>
      </c>
    </row>
    <row r="11">
      <c r="A11" s="52" t="inlineStr">
        <is>
          <t>Voltaje del sistema:</t>
        </is>
      </c>
      <c r="B11" s="55">
        <f>Calculadora!D27&amp;" V"</f>
        <v/>
      </c>
    </row>
    <row r="12">
      <c r="A12" s="52" t="inlineStr">
        <is>
          <t>Frecuencia:</t>
        </is>
      </c>
      <c r="B12" s="55">
        <f>Calculadora!D28&amp;" Hz"</f>
        <v/>
      </c>
    </row>
    <row r="13">
      <c r="A13" s="52" t="inlineStr">
        <is>
          <t>Tipo de red eléctrica:</t>
        </is>
      </c>
      <c r="B13" s="55">
        <f>Calculadora!D29</f>
        <v/>
      </c>
    </row>
    <row r="14">
      <c r="A14" s="52" t="inlineStr">
        <is>
          <t>Tipo de inversor:</t>
        </is>
      </c>
      <c r="B14" s="55">
        <f>Calculadora!D30</f>
        <v/>
      </c>
    </row>
    <row r="15"/>
    <row r="16">
      <c r="A16" s="56" t="inlineStr">
        <is>
          <t>RESULTADOS DEL DIMENSIONAMIENTO</t>
        </is>
      </c>
    </row>
    <row r="17">
      <c r="A17" s="52" t="inlineStr">
        <is>
          <t>Consumo diario:</t>
        </is>
      </c>
      <c r="B17" s="55">
        <f>Calculadora!D53&amp;" Wh/día"</f>
        <v/>
      </c>
    </row>
    <row r="18">
      <c r="A18" s="52" t="inlineStr">
        <is>
          <t>Potencia de paneles solares:</t>
        </is>
      </c>
      <c r="B18" s="55">
        <f>TEXT(Calculadora!D58,"0.00")&amp;" Wp"</f>
        <v/>
      </c>
    </row>
    <row r="19">
      <c r="A19" s="52" t="inlineStr">
        <is>
          <t>Cantidad de paneles:</t>
        </is>
      </c>
      <c r="B19" s="55">
        <f>Calculadora!D61&amp;" paneles de "&amp;TEXT(Calculadora!D33,"0.00")&amp;"W"</f>
        <v/>
      </c>
    </row>
    <row r="20">
      <c r="A20" s="52" t="inlineStr">
        <is>
          <t>Configuración de paneles:</t>
        </is>
      </c>
      <c r="B20" s="55">
        <f>Calculadora!D36&amp;" - "&amp;Calculadora!D37&amp;" paneles/string"</f>
        <v/>
      </c>
    </row>
    <row r="21">
      <c r="A21" s="52" t="inlineStr">
        <is>
          <t>Voltaje del string:</t>
        </is>
      </c>
      <c r="B21" s="55">
        <f>TEXT(Calculadora!D40,"0.00")&amp;" V"</f>
        <v/>
      </c>
    </row>
    <row r="22">
      <c r="A22" s="52" t="inlineStr">
        <is>
          <t>Corriente del string:</t>
        </is>
      </c>
      <c r="B22" s="55">
        <f>TEXT(Calculadora!D41,"0.00")&amp;" A"</f>
        <v/>
      </c>
    </row>
    <row r="23">
      <c r="A23" s="52" t="inlineStr">
        <is>
          <t>Número de strings:</t>
        </is>
      </c>
      <c r="B23" s="55">
        <f>Calculadora!D60&amp;" strings"</f>
        <v/>
      </c>
    </row>
    <row r="24">
      <c r="A24" s="52" t="inlineStr">
        <is>
          <t>Potencia del inversor:</t>
        </is>
      </c>
      <c r="B24" s="55">
        <f>ROUND(Calculadora!D62/1000,1)&amp;" kW"</f>
        <v/>
      </c>
    </row>
    <row r="25">
      <c r="A25" s="52" t="inlineStr">
        <is>
          <t>Capacidad de baterías:</t>
        </is>
      </c>
      <c r="B25" s="55">
        <f>ROUND(Calculadora!D56,0)&amp;" Ah @ "&amp;Calculadora!D27&amp;"V"</f>
        <v/>
      </c>
    </row>
    <row r="26">
      <c r="A26" s="52" t="inlineStr">
        <is>
          <t>Tipo de batería:</t>
        </is>
      </c>
      <c r="B26" s="55">
        <f>Calculadora!D46</f>
        <v/>
      </c>
    </row>
    <row r="27">
      <c r="A27" s="52" t="inlineStr">
        <is>
          <t>Corriente controlador:</t>
        </is>
      </c>
      <c r="B27" s="55">
        <f>ROUND(Calculadora!D63,0)&amp;" A"</f>
        <v/>
      </c>
    </row>
    <row r="28"/>
    <row r="29">
      <c r="A29" s="57" t="inlineStr">
        <is>
          <t>OBSERVACIONES Y RECOMENDACIONES</t>
        </is>
      </c>
    </row>
    <row r="30">
      <c r="A30" t="inlineStr">
        <is>
          <t>• Sistema dimensionado para consumo diario con 1 día de autonomía</t>
        </is>
      </c>
    </row>
    <row r="31">
      <c r="A31" t="inlineStr">
        <is>
          <t>• Los paneles deben orientarse al sur (hemisferio norte) con inclinación óptima</t>
        </is>
      </c>
    </row>
    <row r="32">
      <c r="A32" t="inlineStr">
        <is>
          <t>• Se recomienda instalación profesional certificada</t>
        </is>
      </c>
    </row>
    <row r="33">
      <c r="A33" t="inlineStr">
        <is>
          <t>• Mantenimiento periódico de paneles y baterías requerido</t>
        </is>
      </c>
    </row>
    <row r="34">
      <c r="A34" t="inlineStr">
        <is>
          <t>• Verificar normativa eléctrica local antes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2025-12-13T06:51:18Z</dcterms:created>
  <dcterms:modified xsi:type="dcterms:W3CDTF">2025-12-13T06:51:18Z</dcterms:modified>
</cp:coreProperties>
</file>