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" sheetId="1" state="visible" r:id="rId1"/>
    <sheet name="Informe Clie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0000"/>
      <sz val="10"/>
    </font>
    <font>
      <b val="1"/>
      <color rgb="00FFFFFF"/>
      <sz val="11"/>
    </font>
    <font>
      <b val="1"/>
      <color rgb="000070C0"/>
    </font>
    <font>
      <i val="1"/>
      <sz val="9"/>
    </font>
    <font>
      <b val="1"/>
      <color rgb="00FFFFFF"/>
      <sz val="12"/>
    </font>
    <font>
      <b val="1"/>
      <color rgb="00FFFFFF"/>
    </font>
    <font>
      <b val="1"/>
    </font>
    <font>
      <b val="1"/>
      <sz val="11"/>
    </font>
    <font>
      <b val="1"/>
      <color rgb="00FFFFFF"/>
      <sz val="20"/>
    </font>
    <font>
      <b val="1"/>
      <color rgb="00203864"/>
      <sz val="14"/>
    </font>
    <font>
      <b val="1"/>
      <sz val="12"/>
    </font>
  </fonts>
  <fills count="1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FEB9C"/>
        <bgColor rgb="00FFEB9C"/>
      </patternFill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E91E63"/>
        <bgColor rgb="00E91E63"/>
      </patternFill>
    </fill>
    <fill>
      <patternFill patternType="solid">
        <fgColor rgb="00FF9800"/>
        <bgColor rgb="00FF9800"/>
      </patternFill>
    </fill>
    <fill>
      <patternFill patternType="solid">
        <fgColor rgb="009C27B0"/>
        <bgColor rgb="009C27B0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  <fill>
      <patternFill patternType="solid">
        <fgColor rgb="004CAF50"/>
        <bgColor rgb="004CAF50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5" borderId="1" applyAlignment="1" pivotButton="0" quotePrefix="0" xfId="0">
      <alignment horizontal="center"/>
    </xf>
    <xf numFmtId="2" fontId="0" fillId="0" borderId="1" applyAlignment="1" pivotButton="0" quotePrefix="0" xfId="0">
      <alignment horizontal="right"/>
    </xf>
    <xf numFmtId="164" fontId="4" fillId="5" borderId="1" applyAlignment="1" pivotButton="0" quotePrefix="0" xfId="0">
      <alignment horizontal="center"/>
    </xf>
    <xf numFmtId="0" fontId="5" fillId="0" borderId="1" pivotButton="0" quotePrefix="0" xfId="0"/>
    <xf numFmtId="0" fontId="6" fillId="6" borderId="1" applyAlignment="1" pivotButton="0" quotePrefix="0" xfId="0">
      <alignment horizontal="center"/>
    </xf>
    <xf numFmtId="2" fontId="6" fillId="6" borderId="1" applyAlignment="1" pivotButton="0" quotePrefix="0" xfId="0">
      <alignment horizontal="right"/>
    </xf>
    <xf numFmtId="0" fontId="0" fillId="6" borderId="1" pivotButton="0" quotePrefix="0" xfId="0"/>
    <xf numFmtId="0" fontId="6" fillId="7" borderId="0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6" fillId="8" borderId="0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2" fontId="4" fillId="5" borderId="1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2" fontId="9" fillId="10" borderId="1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6" fillId="11" borderId="0" applyAlignment="1" pivotButton="0" quotePrefix="0" xfId="0">
      <alignment horizontal="center"/>
    </xf>
    <xf numFmtId="0" fontId="7" fillId="11" borderId="1" applyAlignment="1" pivotButton="0" quotePrefix="0" xfId="0">
      <alignment horizontal="center"/>
    </xf>
    <xf numFmtId="0" fontId="3" fillId="12" borderId="0" applyAlignment="1" pivotButton="0" quotePrefix="0" xfId="0">
      <alignment horizontal="center" wrapText="1"/>
    </xf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2" fillId="13" borderId="0" pivotButton="0" quotePrefix="0" xfId="0"/>
    <xf numFmtId="0" fontId="8" fillId="0" borderId="0" pivotButton="0" quotePrefix="0" xfId="0"/>
    <xf numFmtId="0" fontId="4" fillId="5" borderId="0" pivotButton="0" quotePrefix="0" xfId="0"/>
    <xf numFmtId="0" fontId="6" fillId="7" borderId="0" pivotButton="0" quotePrefix="0" xfId="0"/>
    <xf numFmtId="49" fontId="0" fillId="0" borderId="0" pivotButton="0" quotePrefix="0" xfId="0"/>
    <xf numFmtId="0" fontId="6" fillId="11" borderId="0" pivotButton="0" quotePrefix="0" xfId="0"/>
    <xf numFmtId="0" fontId="6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4" customWidth="1" min="4" max="4"/>
    <col width="12" customWidth="1" min="5" max="5"/>
    <col width="15" customWidth="1" min="6" max="6"/>
    <col width="8" customWidth="1" min="7" max="7"/>
    <col width="15" customWidth="1" min="8" max="8"/>
    <col width="12" customWidth="1" min="9" max="9"/>
    <col width="25" customWidth="1" min="10" max="10"/>
  </cols>
  <sheetData>
    <row r="1" ht="25" customHeight="1">
      <c r="A1" s="1" t="inlineStr">
        <is>
          <t>CALCULADORA SOLAR V4 - CON LISTAS DESPLEGABLES Y CÁLCULO DE STRINGS</t>
        </is>
      </c>
    </row>
    <row r="2">
      <c r="A2" s="2" t="inlineStr">
        <is>
          <t>Use las FLECHAS 🔽 en celdas amarillas para seleccionar opciones</t>
        </is>
      </c>
    </row>
    <row r="4" ht="30" customHeight="1">
      <c r="A4" s="3" t="inlineStr">
        <is>
          <t>N°</t>
        </is>
      </c>
      <c r="B4" s="3" t="inlineStr">
        <is>
          <t>EQUIPO/APARATO</t>
        </is>
      </c>
      <c r="C4" s="3" t="inlineStr">
        <is>
          <t>CANT.</t>
        </is>
      </c>
      <c r="D4" s="3" t="inlineStr">
        <is>
          <t>POT.(W)</t>
        </is>
      </c>
      <c r="E4" s="3" t="inlineStr">
        <is>
          <t>H/DÍA</t>
        </is>
      </c>
      <c r="F4" s="3" t="inlineStr">
        <is>
          <t>CONSUMO(Wh)</t>
        </is>
      </c>
      <c r="G4" s="3" t="inlineStr">
        <is>
          <t>FACTOR</t>
        </is>
      </c>
      <c r="H4" s="3" t="inlineStr">
        <is>
          <t>CONSUMO REAL(Wh)</t>
        </is>
      </c>
      <c r="I4" s="3" t="inlineStr">
        <is>
          <t>NOTAS</t>
        </is>
      </c>
    </row>
    <row r="5">
      <c r="A5" s="4" t="n">
        <v>1</v>
      </c>
      <c r="B5" s="5" t="inlineStr">
        <is>
          <t>Cocina eléctrica</t>
        </is>
      </c>
      <c r="C5" s="6" t="n">
        <v>1</v>
      </c>
      <c r="D5" s="6" t="n">
        <v>2000</v>
      </c>
      <c r="E5" s="6" t="n">
        <v>1.5</v>
      </c>
      <c r="F5" s="7">
        <f>C5*D5*E5</f>
        <v/>
      </c>
      <c r="G5" s="8" t="n">
        <v>0.7</v>
      </c>
      <c r="H5" s="7">
        <f>F5*G5</f>
        <v/>
      </c>
      <c r="I5" s="9" t="inlineStr">
        <is>
          <t>Alto consumo</t>
        </is>
      </c>
    </row>
    <row r="6">
      <c r="A6" s="4" t="n">
        <v>2</v>
      </c>
      <c r="B6" s="5" t="inlineStr">
        <is>
          <t>Olla multipropósito</t>
        </is>
      </c>
      <c r="C6" s="6" t="n">
        <v>1</v>
      </c>
      <c r="D6" s="6" t="n">
        <v>1000</v>
      </c>
      <c r="E6" s="6" t="n">
        <v>1</v>
      </c>
      <c r="F6" s="7">
        <f>C6*D6*E6</f>
        <v/>
      </c>
      <c r="G6" s="8" t="n">
        <v>0.8</v>
      </c>
      <c r="H6" s="7">
        <f>F6*G6</f>
        <v/>
      </c>
      <c r="I6" s="9" t="inlineStr">
        <is>
          <t>Moderado</t>
        </is>
      </c>
    </row>
    <row r="7">
      <c r="A7" s="4" t="n">
        <v>3</v>
      </c>
      <c r="B7" s="5" t="inlineStr">
        <is>
          <t>Cocina de inducción</t>
        </is>
      </c>
      <c r="C7" s="6" t="n">
        <v>1</v>
      </c>
      <c r="D7" s="6" t="n">
        <v>1800</v>
      </c>
      <c r="E7" s="6" t="n">
        <v>1</v>
      </c>
      <c r="F7" s="7">
        <f>C7*D7*E7</f>
        <v/>
      </c>
      <c r="G7" s="8" t="n">
        <v>0.7</v>
      </c>
      <c r="H7" s="7">
        <f>F7*G7</f>
        <v/>
      </c>
      <c r="I7" s="9" t="inlineStr">
        <is>
          <t>Alto consumo</t>
        </is>
      </c>
    </row>
    <row r="8">
      <c r="A8" s="4" t="n">
        <v>4</v>
      </c>
      <c r="B8" s="5" t="inlineStr">
        <is>
          <t>Refrigerador</t>
        </is>
      </c>
      <c r="C8" s="6" t="n">
        <v>1</v>
      </c>
      <c r="D8" s="6" t="n">
        <v>150</v>
      </c>
      <c r="E8" s="6" t="n">
        <v>24</v>
      </c>
      <c r="F8" s="7">
        <f>C8*D8*E8</f>
        <v/>
      </c>
      <c r="G8" s="8" t="n">
        <v>0.4</v>
      </c>
      <c r="H8" s="7">
        <f>F8*G8</f>
        <v/>
      </c>
      <c r="I8" s="9" t="inlineStr">
        <is>
          <t>Ciclo 40%</t>
        </is>
      </c>
    </row>
    <row r="9">
      <c r="A9" s="4" t="n">
        <v>5</v>
      </c>
      <c r="B9" s="5" t="inlineStr">
        <is>
          <t>Nevera</t>
        </is>
      </c>
      <c r="C9" s="6" t="n">
        <v>1</v>
      </c>
      <c r="D9" s="6" t="n">
        <v>120</v>
      </c>
      <c r="E9" s="6" t="n">
        <v>24</v>
      </c>
      <c r="F9" s="7">
        <f>C9*D9*E9</f>
        <v/>
      </c>
      <c r="G9" s="8" t="n">
        <v>0.4</v>
      </c>
      <c r="H9" s="7">
        <f>F9*G9</f>
        <v/>
      </c>
      <c r="I9" s="9" t="inlineStr">
        <is>
          <t>Ciclo 40%</t>
        </is>
      </c>
    </row>
    <row r="10">
      <c r="A10" s="4" t="n">
        <v>6</v>
      </c>
      <c r="B10" s="5" t="inlineStr">
        <is>
          <t>Horno de aire</t>
        </is>
      </c>
      <c r="C10" s="6" t="n">
        <v>1</v>
      </c>
      <c r="D10" s="6" t="n">
        <v>1500</v>
      </c>
      <c r="E10" s="6" t="n">
        <v>0.5</v>
      </c>
      <c r="F10" s="7">
        <f>C10*D10*E10</f>
        <v/>
      </c>
      <c r="G10" s="8" t="n">
        <v>0.8</v>
      </c>
      <c r="H10" s="7">
        <f>F10*G10</f>
        <v/>
      </c>
      <c r="I10" s="9" t="inlineStr">
        <is>
          <t>Ocasional</t>
        </is>
      </c>
    </row>
    <row r="11">
      <c r="A11" s="4" t="n">
        <v>7</v>
      </c>
      <c r="B11" s="5" t="inlineStr">
        <is>
          <t>Batidora</t>
        </is>
      </c>
      <c r="C11" s="6" t="n">
        <v>1</v>
      </c>
      <c r="D11" s="6" t="n">
        <v>300</v>
      </c>
      <c r="E11" s="6" t="n">
        <v>0.3</v>
      </c>
      <c r="F11" s="7">
        <f>C11*D11*E11</f>
        <v/>
      </c>
      <c r="G11" s="8" t="n">
        <v>1</v>
      </c>
      <c r="H11" s="7">
        <f>F11*G11</f>
        <v/>
      </c>
      <c r="I11" s="9" t="inlineStr">
        <is>
          <t>Breve</t>
        </is>
      </c>
    </row>
    <row r="12">
      <c r="A12" s="4" t="n">
        <v>8</v>
      </c>
      <c r="B12" s="5" t="inlineStr">
        <is>
          <t>Microondas</t>
        </is>
      </c>
      <c r="C12" s="6" t="n">
        <v>1</v>
      </c>
      <c r="D12" s="6" t="n">
        <v>1200</v>
      </c>
      <c r="E12" s="6" t="n">
        <v>0.5</v>
      </c>
      <c r="F12" s="7">
        <f>C12*D12*E12</f>
        <v/>
      </c>
      <c r="G12" s="8" t="n">
        <v>0.8</v>
      </c>
      <c r="H12" s="7">
        <f>F12*G12</f>
        <v/>
      </c>
      <c r="I12" s="9" t="inlineStr">
        <is>
          <t>Breve</t>
        </is>
      </c>
    </row>
    <row r="13">
      <c r="A13" s="4" t="n">
        <v>9</v>
      </c>
      <c r="B13" s="5" t="inlineStr">
        <is>
          <t>Lavadora</t>
        </is>
      </c>
      <c r="C13" s="6" t="n">
        <v>1</v>
      </c>
      <c r="D13" s="6" t="n">
        <v>400</v>
      </c>
      <c r="E13" s="6" t="n">
        <v>1</v>
      </c>
      <c r="F13" s="7">
        <f>C13*D13*E13</f>
        <v/>
      </c>
      <c r="G13" s="8" t="n">
        <v>0.8</v>
      </c>
      <c r="H13" s="7">
        <f>F13*G13</f>
        <v/>
      </c>
      <c r="I13" s="9" t="inlineStr">
        <is>
          <t>Diario</t>
        </is>
      </c>
    </row>
    <row r="14">
      <c r="A14" s="4" t="n">
        <v>10</v>
      </c>
      <c r="B14" s="5" t="inlineStr">
        <is>
          <t>Ducha eléctrica</t>
        </is>
      </c>
      <c r="C14" s="6" t="n">
        <v>1</v>
      </c>
      <c r="D14" s="6" t="n">
        <v>4500</v>
      </c>
      <c r="E14" s="6" t="n">
        <v>0.5</v>
      </c>
      <c r="F14" s="7">
        <f>C14*D14*E14</f>
        <v/>
      </c>
      <c r="G14" s="8" t="n">
        <v>1</v>
      </c>
      <c r="H14" s="7">
        <f>F14*G14</f>
        <v/>
      </c>
      <c r="I14" s="9" t="inlineStr">
        <is>
          <t>ALTO</t>
        </is>
      </c>
    </row>
    <row r="15">
      <c r="A15" s="4" t="n">
        <v>11</v>
      </c>
      <c r="B15" s="5" t="inlineStr">
        <is>
          <t>TV 55"</t>
        </is>
      </c>
      <c r="C15" s="6" t="n">
        <v>1</v>
      </c>
      <c r="D15" s="6" t="n">
        <v>120</v>
      </c>
      <c r="E15" s="6" t="n">
        <v>6</v>
      </c>
      <c r="F15" s="7">
        <f>C15*D15*E15</f>
        <v/>
      </c>
      <c r="G15" s="8" t="n">
        <v>1</v>
      </c>
      <c r="H15" s="7">
        <f>F15*G15</f>
        <v/>
      </c>
      <c r="I15" s="9" t="inlineStr">
        <is>
          <t>Normal</t>
        </is>
      </c>
    </row>
    <row r="16">
      <c r="A16" s="4" t="n">
        <v>12</v>
      </c>
      <c r="B16" s="5" t="inlineStr">
        <is>
          <t>Ventiladores</t>
        </is>
      </c>
      <c r="C16" s="6" t="n">
        <v>4</v>
      </c>
      <c r="D16" s="6" t="n">
        <v>60</v>
      </c>
      <c r="E16" s="6" t="n">
        <v>8</v>
      </c>
      <c r="F16" s="7">
        <f>C16*D16*E16</f>
        <v/>
      </c>
      <c r="G16" s="8" t="n">
        <v>1</v>
      </c>
      <c r="H16" s="7">
        <f>F16*G16</f>
        <v/>
      </c>
      <c r="I16" s="9" t="inlineStr">
        <is>
          <t>4 unidades</t>
        </is>
      </c>
    </row>
    <row r="17">
      <c r="A17" s="4" t="n">
        <v>13</v>
      </c>
      <c r="B17" s="5" t="inlineStr">
        <is>
          <t>Lámparas LED</t>
        </is>
      </c>
      <c r="C17" s="6" t="n">
        <v>15</v>
      </c>
      <c r="D17" s="6" t="n">
        <v>10</v>
      </c>
      <c r="E17" s="6" t="n">
        <v>5</v>
      </c>
      <c r="F17" s="7">
        <f>C17*D17*E17</f>
        <v/>
      </c>
      <c r="G17" s="8" t="n">
        <v>1</v>
      </c>
      <c r="H17" s="7">
        <f>F17*G17</f>
        <v/>
      </c>
      <c r="I17" s="9" t="inlineStr">
        <is>
          <t>15 unidades</t>
        </is>
      </c>
    </row>
    <row r="18">
      <c r="A18" s="4" t="n">
        <v>14</v>
      </c>
      <c r="B18" s="5" t="inlineStr">
        <is>
          <t>Split (A/C)</t>
        </is>
      </c>
      <c r="C18" s="6" t="n">
        <v>1</v>
      </c>
      <c r="D18" s="6" t="n">
        <v>1200</v>
      </c>
      <c r="E18" s="6" t="n">
        <v>6</v>
      </c>
      <c r="F18" s="7">
        <f>C18*D18*E18</f>
        <v/>
      </c>
      <c r="G18" s="8" t="n">
        <v>0.7</v>
      </c>
      <c r="H18" s="7">
        <f>F18*G18</f>
        <v/>
      </c>
      <c r="I18" s="9" t="inlineStr">
        <is>
          <t>ALTO</t>
        </is>
      </c>
    </row>
    <row r="19">
      <c r="A19" s="4" t="n">
        <v>15</v>
      </c>
      <c r="B19" s="5" t="inlineStr">
        <is>
          <t>Carg. teléfonos</t>
        </is>
      </c>
      <c r="C19" s="6" t="n">
        <v>2</v>
      </c>
      <c r="D19" s="6" t="n">
        <v>10</v>
      </c>
      <c r="E19" s="6" t="n">
        <v>3</v>
      </c>
      <c r="F19" s="7">
        <f>C19*D19*E19</f>
        <v/>
      </c>
      <c r="G19" s="8" t="n">
        <v>1</v>
      </c>
      <c r="H19" s="7">
        <f>F19*G19</f>
        <v/>
      </c>
      <c r="I19" s="9" t="inlineStr">
        <is>
          <t>Bajo</t>
        </is>
      </c>
    </row>
    <row r="20">
      <c r="A20" s="4" t="n">
        <v>16</v>
      </c>
      <c r="B20" s="5" t="inlineStr">
        <is>
          <t>Carg. motosierra</t>
        </is>
      </c>
      <c r="C20" s="6" t="n">
        <v>1</v>
      </c>
      <c r="D20" s="6" t="n">
        <v>80</v>
      </c>
      <c r="E20" s="6" t="n">
        <v>2</v>
      </c>
      <c r="F20" s="7">
        <f>C20*D20*E20</f>
        <v/>
      </c>
      <c r="G20" s="8" t="n">
        <v>1</v>
      </c>
      <c r="H20" s="7">
        <f>F20*G20</f>
        <v/>
      </c>
      <c r="I20" s="9" t="inlineStr">
        <is>
          <t>Ocasional</t>
        </is>
      </c>
    </row>
    <row r="21">
      <c r="A21" s="4" t="n">
        <v>17</v>
      </c>
      <c r="B21" s="5" t="inlineStr">
        <is>
          <t>Radio</t>
        </is>
      </c>
      <c r="C21" s="6" t="n">
        <v>1</v>
      </c>
      <c r="D21" s="6" t="n">
        <v>15</v>
      </c>
      <c r="E21" s="6" t="n">
        <v>4</v>
      </c>
      <c r="F21" s="7">
        <f>C21*D21*E21</f>
        <v/>
      </c>
      <c r="G21" s="8" t="n">
        <v>1</v>
      </c>
      <c r="H21" s="7">
        <f>F21*G21</f>
        <v/>
      </c>
      <c r="I21" s="9" t="inlineStr">
        <is>
          <t>Bajo</t>
        </is>
      </c>
    </row>
    <row r="22">
      <c r="A22" s="4" t="n">
        <v>18</v>
      </c>
      <c r="B22" s="5" t="inlineStr">
        <is>
          <t>Teatro casa</t>
        </is>
      </c>
      <c r="C22" s="6" t="n">
        <v>1</v>
      </c>
      <c r="D22" s="6" t="n">
        <v>150</v>
      </c>
      <c r="E22" s="6" t="n">
        <v>3</v>
      </c>
      <c r="F22" s="7">
        <f>C22*D22*E22</f>
        <v/>
      </c>
      <c r="G22" s="8" t="n">
        <v>1</v>
      </c>
      <c r="H22" s="7">
        <f>F22*G22</f>
        <v/>
      </c>
      <c r="I22" s="9" t="inlineStr">
        <is>
          <t>Normal</t>
        </is>
      </c>
    </row>
    <row r="23">
      <c r="A23" s="10" t="inlineStr">
        <is>
          <t>TOTAL CONSUMO DIARIO</t>
        </is>
      </c>
      <c r="F23" s="11">
        <f>SUM(F5:F22)</f>
        <v/>
      </c>
      <c r="G23" s="12" t="n"/>
      <c r="H23" s="11">
        <f>SUM(H5:H22)</f>
        <v/>
      </c>
      <c r="I23" s="12" t="n"/>
    </row>
    <row r="25">
      <c r="A25" s="13" t="inlineStr">
        <is>
          <t>⚙️ CONFIGURACIÓN DEL SISTEMA (Use flechas 🔽 para seleccionar)</t>
        </is>
      </c>
    </row>
    <row r="26">
      <c r="B26" s="14" t="inlineStr">
        <is>
          <t>PARÁMETRO</t>
        </is>
      </c>
      <c r="D26" s="4" t="inlineStr">
        <is>
          <t>VALOR</t>
        </is>
      </c>
      <c r="E26" s="4" t="inlineStr">
        <is>
          <t>UNIDAD</t>
        </is>
      </c>
      <c r="F26" s="9" t="inlineStr">
        <is>
          <t>DESCRIPCIÓN</t>
        </is>
      </c>
    </row>
    <row r="27">
      <c r="B27" s="15" t="inlineStr">
        <is>
          <t>Voltaje del sistema</t>
        </is>
      </c>
      <c r="D27" s="6" t="n">
        <v>48</v>
      </c>
      <c r="E27" s="4" t="inlineStr">
        <is>
          <t>V</t>
        </is>
      </c>
      <c r="F27" s="9" t="inlineStr">
        <is>
          <t>Seleccione: 12V/24V/48V/96V</t>
        </is>
      </c>
    </row>
    <row r="28">
      <c r="B28" s="15" t="inlineStr">
        <is>
          <t>Frecuencia</t>
        </is>
      </c>
      <c r="D28" s="6" t="n">
        <v>60</v>
      </c>
      <c r="E28" s="4" t="inlineStr">
        <is>
          <t>Hz</t>
        </is>
      </c>
      <c r="F28" s="9" t="inlineStr">
        <is>
          <t>Seleccione: 50Hz o 60Hz</t>
        </is>
      </c>
    </row>
    <row r="29">
      <c r="B29" s="15" t="inlineStr">
        <is>
          <t>Tipo de red</t>
        </is>
      </c>
      <c r="D29" s="6" t="inlineStr">
        <is>
          <t>110V Monofásico</t>
        </is>
      </c>
      <c r="E29" s="4" t="inlineStr"/>
      <c r="F29" s="9" t="inlineStr">
        <is>
          <t>Use lista desplegable</t>
        </is>
      </c>
    </row>
    <row r="30">
      <c r="B30" s="15" t="inlineStr">
        <is>
          <t>Tipo de inversor</t>
        </is>
      </c>
      <c r="D30" s="6" t="inlineStr">
        <is>
          <t>Híbrido</t>
        </is>
      </c>
      <c r="E30" s="4" t="inlineStr"/>
      <c r="F30" s="9" t="inlineStr">
        <is>
          <t>Use lista desplegable</t>
        </is>
      </c>
    </row>
    <row r="31">
      <c r="A31" s="16" t="inlineStr">
        <is>
          <t>☀️ ESPECIFICACIONES DEL PANEL SOLAR</t>
        </is>
      </c>
    </row>
    <row r="32">
      <c r="B32" s="17" t="inlineStr">
        <is>
          <t>PARÁMETRO</t>
        </is>
      </c>
      <c r="D32" s="4" t="inlineStr">
        <is>
          <t>VALOR</t>
        </is>
      </c>
      <c r="E32" s="4" t="inlineStr">
        <is>
          <t>UNIDAD</t>
        </is>
      </c>
      <c r="F32" s="9" t="inlineStr">
        <is>
          <t>DESCRIPCIÓN</t>
        </is>
      </c>
    </row>
    <row r="33">
      <c r="B33" s="15" t="inlineStr">
        <is>
          <t>Potencia nominal (Pmax)</t>
        </is>
      </c>
      <c r="D33" s="6" t="n">
        <v>400</v>
      </c>
      <c r="E33" s="4" t="inlineStr">
        <is>
          <t>W</t>
        </is>
      </c>
      <c r="F33" s="9" t="inlineStr">
        <is>
          <t>Potencia del panel</t>
        </is>
      </c>
    </row>
    <row r="34">
      <c r="B34" s="15" t="inlineStr">
        <is>
          <t>Voltaje en Pmax (Vmp)</t>
        </is>
      </c>
      <c r="D34" s="18" t="n">
        <v>36.5</v>
      </c>
      <c r="E34" s="4" t="inlineStr">
        <is>
          <t>V</t>
        </is>
      </c>
      <c r="F34" s="9" t="inlineStr">
        <is>
          <t>Voltaje a máxima potencia</t>
        </is>
      </c>
    </row>
    <row r="35">
      <c r="B35" s="15" t="inlineStr">
        <is>
          <t>Corriente en Pmax (Imp)</t>
        </is>
      </c>
      <c r="D35" s="18" t="n">
        <v>10.96</v>
      </c>
      <c r="E35" s="4" t="inlineStr">
        <is>
          <t>A</t>
        </is>
      </c>
      <c r="F35" s="9" t="inlineStr">
        <is>
          <t>Corriente a máxima potencia</t>
        </is>
      </c>
    </row>
    <row r="36">
      <c r="B36" s="15" t="inlineStr">
        <is>
          <t>Configuración string</t>
        </is>
      </c>
      <c r="D36" s="6" t="inlineStr">
        <is>
          <t>Serie</t>
        </is>
      </c>
      <c r="E36" s="4" t="inlineStr"/>
      <c r="F36" s="9" t="inlineStr">
        <is>
          <t>Serie o Paralelo</t>
        </is>
      </c>
    </row>
    <row r="37">
      <c r="B37" s="15" t="inlineStr">
        <is>
          <t>Paneles por string</t>
        </is>
      </c>
      <c r="D37" s="6" t="n">
        <v>1</v>
      </c>
      <c r="E37" s="4" t="inlineStr">
        <is>
          <t>unidades</t>
        </is>
      </c>
      <c r="F37" s="9" t="inlineStr">
        <is>
          <t>Cantidad de paneles por string</t>
        </is>
      </c>
    </row>
    <row r="38">
      <c r="A38" s="19" t="inlineStr">
        <is>
          <t>🔌 CÁLCULOS DEL STRING DE PANELES</t>
        </is>
      </c>
    </row>
    <row r="39">
      <c r="B39" s="20" t="inlineStr">
        <is>
          <t>PARÁMETRO</t>
        </is>
      </c>
      <c r="D39" s="4" t="inlineStr">
        <is>
          <t>RESULTADO</t>
        </is>
      </c>
      <c r="E39" s="4" t="inlineStr">
        <is>
          <t>UNIDAD</t>
        </is>
      </c>
      <c r="F39" s="9" t="inlineStr">
        <is>
          <t>FÓRMULA</t>
        </is>
      </c>
    </row>
    <row r="40">
      <c r="B40" s="15" t="inlineStr">
        <is>
          <t>Voltaje del string (Vstring)</t>
        </is>
      </c>
      <c r="D40" s="21">
        <f>IF(D36="Serie",D34*D37,IF(D36="Paralelo",D34,D34*SQRT(D37)))</f>
        <v/>
      </c>
      <c r="E40" s="4" t="inlineStr">
        <is>
          <t>V</t>
        </is>
      </c>
      <c r="F40" s="9" t="inlineStr">
        <is>
          <t>Vmp × Paneles (serie) o Vmp (paralelo)</t>
        </is>
      </c>
    </row>
    <row r="41">
      <c r="B41" s="15" t="inlineStr">
        <is>
          <t>Corriente del string (Istring)</t>
        </is>
      </c>
      <c r="D41" s="21">
        <f>IF(D36="Serie",D35,IF(D36="Paralelo",D35*D37,D35*SQRT(D37)))</f>
        <v/>
      </c>
      <c r="E41" s="4" t="inlineStr">
        <is>
          <t>A</t>
        </is>
      </c>
      <c r="F41" s="9" t="inlineStr">
        <is>
          <t>Imp (serie) o Imp × Paneles (paralelo)</t>
        </is>
      </c>
    </row>
    <row r="42">
      <c r="B42" s="15" t="inlineStr">
        <is>
          <t>Potencia del string</t>
        </is>
      </c>
      <c r="D42" s="21">
        <f>D40*D41</f>
        <v/>
      </c>
      <c r="E42" s="4" t="inlineStr">
        <is>
          <t>W</t>
        </is>
      </c>
      <c r="F42" s="9" t="inlineStr">
        <is>
          <t>Vstring × Istring</t>
        </is>
      </c>
    </row>
    <row r="43">
      <c r="A43" s="22" t="inlineStr">
        <is>
          <t>🔋 PARÁMETROS DE BATERÍAS Y GENERACIÓN</t>
        </is>
      </c>
    </row>
    <row r="44">
      <c r="B44" s="23" t="inlineStr">
        <is>
          <t>PARÁMETRO</t>
        </is>
      </c>
      <c r="D44" s="4" t="inlineStr">
        <is>
          <t>VALOR</t>
        </is>
      </c>
      <c r="E44" s="4" t="inlineStr">
        <is>
          <t>UNIDAD</t>
        </is>
      </c>
      <c r="F44" s="9" t="inlineStr">
        <is>
          <t>DESCRIPCIÓN</t>
        </is>
      </c>
    </row>
    <row r="45">
      <c r="B45" s="15" t="inlineStr">
        <is>
          <t>Días de autonomía</t>
        </is>
      </c>
      <c r="D45" s="6" t="n">
        <v>1</v>
      </c>
      <c r="E45" s="4" t="inlineStr">
        <is>
          <t>días</t>
        </is>
      </c>
      <c r="F45" s="9" t="inlineStr">
        <is>
          <t>Reserva del banco</t>
        </is>
      </c>
    </row>
    <row r="46">
      <c r="B46" s="15" t="inlineStr">
        <is>
          <t>Tipo de batería</t>
        </is>
      </c>
      <c r="D46" s="6" t="inlineStr">
        <is>
          <t>Litio</t>
        </is>
      </c>
      <c r="E46" s="4" t="inlineStr"/>
      <c r="F46" s="9" t="inlineStr">
        <is>
          <t>Use lista desplegable</t>
        </is>
      </c>
    </row>
    <row r="47">
      <c r="B47" s="15" t="inlineStr">
        <is>
          <t>Profundidad descarga</t>
        </is>
      </c>
      <c r="D47" s="18" t="n">
        <v>0.8</v>
      </c>
      <c r="E47" s="4" t="inlineStr"/>
      <c r="F47" s="9" t="inlineStr">
        <is>
          <t>Según tipo batería</t>
        </is>
      </c>
    </row>
    <row r="48">
      <c r="B48" s="15" t="inlineStr">
        <is>
          <t>Eficiencia inversor</t>
        </is>
      </c>
      <c r="D48" s="18" t="n">
        <v>0.9</v>
      </c>
      <c r="E48" s="4" t="inlineStr"/>
      <c r="F48" s="9" t="inlineStr">
        <is>
          <t>90% típica</t>
        </is>
      </c>
    </row>
    <row r="49">
      <c r="B49" s="15" t="inlineStr">
        <is>
          <t>Horas Sol Pico (HSP)</t>
        </is>
      </c>
      <c r="D49" s="6" t="n">
        <v>5</v>
      </c>
      <c r="E49" s="4" t="inlineStr">
        <is>
          <t>horas</t>
        </is>
      </c>
      <c r="F49" s="9" t="inlineStr">
        <is>
          <t>Según ubicación</t>
        </is>
      </c>
    </row>
    <row r="50">
      <c r="B50" s="15" t="inlineStr">
        <is>
          <t>Factor pérdidas</t>
        </is>
      </c>
      <c r="D50" s="18" t="n">
        <v>0.75</v>
      </c>
      <c r="E50" s="4" t="inlineStr"/>
      <c r="F50" s="9" t="inlineStr">
        <is>
          <t>75% útil</t>
        </is>
      </c>
    </row>
    <row r="51">
      <c r="A51" s="24" t="inlineStr">
        <is>
          <t>📊 DIMENSIONAMIENTO DEL SISTEMA</t>
        </is>
      </c>
    </row>
    <row r="52">
      <c r="B52" s="25" t="inlineStr">
        <is>
          <t>CÁLCULO</t>
        </is>
      </c>
      <c r="D52" s="4" t="inlineStr">
        <is>
          <t>RESULTADO</t>
        </is>
      </c>
      <c r="E52" s="4" t="inlineStr">
        <is>
          <t>UNIDAD</t>
        </is>
      </c>
      <c r="F52" s="9" t="inlineStr">
        <is>
          <t>FÓRMULA</t>
        </is>
      </c>
    </row>
    <row r="53">
      <c r="B53" s="15" t="inlineStr">
        <is>
          <t>Consumo diario real</t>
        </is>
      </c>
      <c r="D53" s="21">
        <f>H23</f>
        <v/>
      </c>
      <c r="E53" s="4" t="inlineStr">
        <is>
          <t>Wh/día</t>
        </is>
      </c>
      <c r="F53" s="9" t="inlineStr">
        <is>
          <t>Suma consumos</t>
        </is>
      </c>
    </row>
    <row r="54">
      <c r="B54" s="15" t="inlineStr">
        <is>
          <t>Consumo ajustado inv.</t>
        </is>
      </c>
      <c r="D54" s="21">
        <f>H23/D48</f>
        <v/>
      </c>
      <c r="E54" s="4" t="inlineStr">
        <is>
          <t>Wh/día</t>
        </is>
      </c>
      <c r="F54" s="9" t="inlineStr">
        <is>
          <t>Con eficiencia</t>
        </is>
      </c>
    </row>
    <row r="55">
      <c r="B55" s="15" t="inlineStr">
        <is>
          <t>Capacidad banco (Wh)</t>
        </is>
      </c>
      <c r="D55" s="21">
        <f>(H23*D45)/D47</f>
        <v/>
      </c>
      <c r="E55" s="4" t="inlineStr">
        <is>
          <t>Wh</t>
        </is>
      </c>
      <c r="F55" s="9" t="inlineStr">
        <is>
          <t>Según autonomía</t>
        </is>
      </c>
    </row>
    <row r="56">
      <c r="B56" s="15" t="inlineStr">
        <is>
          <t>Capacidad banco (Ah)</t>
        </is>
      </c>
      <c r="D56" s="21">
        <f>D55/D27</f>
        <v/>
      </c>
      <c r="E56" s="4" t="inlineStr">
        <is>
          <t>Ah</t>
        </is>
      </c>
      <c r="F56" s="9" t="inlineStr">
        <is>
          <t>A voltaje sistema</t>
        </is>
      </c>
    </row>
    <row r="57">
      <c r="B57" s="15" t="inlineStr">
        <is>
          <t>Potencia paneles FV</t>
        </is>
      </c>
      <c r="D57" s="21">
        <f>D54/D49/D50</f>
        <v/>
      </c>
      <c r="E57" s="4" t="inlineStr">
        <is>
          <t>Wp</t>
        </is>
      </c>
      <c r="F57" s="9" t="inlineStr">
        <is>
          <t>Requerida</t>
        </is>
      </c>
    </row>
    <row r="58">
      <c r="B58" s="15" t="inlineStr">
        <is>
          <t>Potencia recomendada</t>
        </is>
      </c>
      <c r="D58" s="21">
        <f>D57*1.2</f>
        <v/>
      </c>
      <c r="E58" s="4" t="inlineStr">
        <is>
          <t>Wp</t>
        </is>
      </c>
      <c r="F58" s="9" t="inlineStr">
        <is>
          <t>Con 20% margen</t>
        </is>
      </c>
    </row>
    <row r="59">
      <c r="B59" s="15" t="inlineStr">
        <is>
          <t>Cantidad paneles</t>
        </is>
      </c>
      <c r="D59" s="21">
        <f>ROUNDUP(D58/D33,0)</f>
        <v/>
      </c>
      <c r="E59" s="4" t="inlineStr">
        <is>
          <t>unidades</t>
        </is>
      </c>
      <c r="F59" s="9" t="inlineStr">
        <is>
          <t>Según potencia</t>
        </is>
      </c>
    </row>
    <row r="60">
      <c r="B60" s="15" t="inlineStr">
        <is>
          <t>Número de strings</t>
        </is>
      </c>
      <c r="D60" s="21">
        <f>ROUNDUP(D59/D37,0)</f>
        <v/>
      </c>
      <c r="E60" s="4" t="inlineStr">
        <is>
          <t>strings</t>
        </is>
      </c>
      <c r="F60" s="9" t="inlineStr">
        <is>
          <t>Según config.</t>
        </is>
      </c>
    </row>
    <row r="61">
      <c r="B61" s="15" t="inlineStr">
        <is>
          <t>Potencia del inversor</t>
        </is>
      </c>
      <c r="D61" s="21">
        <f>MAX(D5:D22)*1.25</f>
        <v/>
      </c>
      <c r="E61" s="4" t="inlineStr">
        <is>
          <t>W</t>
        </is>
      </c>
      <c r="F61" s="9" t="inlineStr">
        <is>
          <t>Pico + 25%</t>
        </is>
      </c>
    </row>
    <row r="62">
      <c r="B62" s="15" t="inlineStr">
        <is>
          <t>Corriente controlador</t>
        </is>
      </c>
      <c r="D62" s="21">
        <f>D58/D27*1.25</f>
        <v/>
      </c>
      <c r="E62" s="4" t="inlineStr">
        <is>
          <t>A</t>
        </is>
      </c>
      <c r="F62" s="9" t="inlineStr">
        <is>
          <t>Con margen</t>
        </is>
      </c>
    </row>
    <row r="64" ht="35" customHeight="1">
      <c r="A64" s="26" t="inlineStr">
        <is>
          <t>📄 Para generar INFORME PDF: Vaya a la pestaña "Informe Cliente" y guarde como PDF desde Excel (Archivo → Guardar como → PDF)</t>
        </is>
      </c>
    </row>
  </sheetData>
  <mergeCells count="75">
    <mergeCell ref="F44:J44"/>
    <mergeCell ref="B47:C47"/>
    <mergeCell ref="F53:J53"/>
    <mergeCell ref="F29:J29"/>
    <mergeCell ref="B54:C54"/>
    <mergeCell ref="F57:J57"/>
    <mergeCell ref="B62:C62"/>
    <mergeCell ref="B59:C59"/>
    <mergeCell ref="F34:J34"/>
    <mergeCell ref="F54:J54"/>
    <mergeCell ref="B46:C46"/>
    <mergeCell ref="A43:J43"/>
    <mergeCell ref="A38:J38"/>
    <mergeCell ref="B27:C27"/>
    <mergeCell ref="B56:C56"/>
    <mergeCell ref="F40:J40"/>
    <mergeCell ref="B58:C58"/>
    <mergeCell ref="B39:C39"/>
    <mergeCell ref="F30:J30"/>
    <mergeCell ref="B52:C52"/>
    <mergeCell ref="B48:C48"/>
    <mergeCell ref="F59:J59"/>
    <mergeCell ref="A31:J31"/>
    <mergeCell ref="F55:J55"/>
    <mergeCell ref="B42:C42"/>
    <mergeCell ref="B61:C61"/>
    <mergeCell ref="F36:J36"/>
    <mergeCell ref="F42:J42"/>
    <mergeCell ref="B60:C60"/>
    <mergeCell ref="F33:J33"/>
    <mergeCell ref="F45:J45"/>
    <mergeCell ref="F41:J41"/>
    <mergeCell ref="B57:C57"/>
    <mergeCell ref="F32:J32"/>
    <mergeCell ref="F35:J35"/>
    <mergeCell ref="F50:J50"/>
    <mergeCell ref="F26:J26"/>
    <mergeCell ref="B53:C53"/>
    <mergeCell ref="A51:J51"/>
    <mergeCell ref="A64:J64"/>
    <mergeCell ref="A1:J1"/>
    <mergeCell ref="B44:C44"/>
    <mergeCell ref="F62:J62"/>
    <mergeCell ref="B29:C29"/>
    <mergeCell ref="F47:J47"/>
    <mergeCell ref="B34:C34"/>
    <mergeCell ref="B37:C37"/>
    <mergeCell ref="B28:C28"/>
    <mergeCell ref="F28:J28"/>
    <mergeCell ref="A23:E23"/>
    <mergeCell ref="F46:J46"/>
    <mergeCell ref="B40:C40"/>
    <mergeCell ref="A25:J25"/>
    <mergeCell ref="B49:C49"/>
    <mergeCell ref="F27:J27"/>
    <mergeCell ref="F56:J56"/>
    <mergeCell ref="F58:J58"/>
    <mergeCell ref="F52:J52"/>
    <mergeCell ref="B55:C55"/>
    <mergeCell ref="B30:C30"/>
    <mergeCell ref="F61:J61"/>
    <mergeCell ref="F37:J37"/>
    <mergeCell ref="B33:C33"/>
    <mergeCell ref="B26:C26"/>
    <mergeCell ref="F39:J39"/>
    <mergeCell ref="F48:J48"/>
    <mergeCell ref="B45:C45"/>
    <mergeCell ref="B36:C36"/>
    <mergeCell ref="F60:J60"/>
    <mergeCell ref="B32:C32"/>
    <mergeCell ref="F49:J49"/>
    <mergeCell ref="B50:C50"/>
    <mergeCell ref="A2:J2"/>
    <mergeCell ref="B41:C41"/>
    <mergeCell ref="B35:C35"/>
  </mergeCells>
  <dataValidations count="6">
    <dataValidation sqref="D27" showDropDown="0" showInputMessage="0" showErrorMessage="0" allowBlank="0" type="list">
      <formula1>"12,24,48,96"</formula1>
    </dataValidation>
    <dataValidation sqref="D28" showDropDown="0" showInputMessage="0" showErrorMessage="0" allowBlank="0" type="list">
      <formula1>"50,60"</formula1>
    </dataValidation>
    <dataValidation sqref="D29" showDropDown="0" showInputMessage="0" showErrorMessage="0" allowBlank="0" type="list">
      <formula1>"110V Monofásico,220V Monofásico,220V Fase dividida,220V/380V Trifásico,127V/220V Bifásico"</formula1>
    </dataValidation>
    <dataValidation sqref="D30" showDropDown="0" showInputMessage="0" showErrorMessage="0" allowBlank="0" type="list">
      <formula1>"On-Grid,Off-Grid,Híbrido"</formula1>
    </dataValidation>
    <dataValidation sqref="D36" showDropDown="0" showInputMessage="0" showErrorMessage="0" allowBlank="0" type="list">
      <formula1>"Serie,Paralelo,Serie-Paralelo"</formula1>
    </dataValidation>
    <dataValidation sqref="D46" showDropDown="0" showInputMessage="0" showErrorMessage="0" allowBlank="0" type="list">
      <formula1>"Plomo-ácido,AGM,Gel,Litio"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5" customHeight="1">
      <c r="A1" s="27" t="inlineStr">
        <is>
          <t>INFORME TÉCNICO</t>
        </is>
      </c>
    </row>
    <row r="2" ht="25" customHeight="1">
      <c r="A2" s="28" t="inlineStr">
        <is>
          <t>SISTEMA FOTOVOLTAICO DE AUTOCONSUMO</t>
        </is>
      </c>
    </row>
    <row r="4">
      <c r="A4" s="29" t="inlineStr">
        <is>
          <t>DATOS DEL CLIENTE</t>
        </is>
      </c>
    </row>
    <row r="5">
      <c r="A5" s="30" t="inlineStr">
        <is>
          <t>Nombre:</t>
        </is>
      </c>
      <c r="B5" s="31" t="inlineStr">
        <is>
          <t>Cliente</t>
        </is>
      </c>
    </row>
    <row r="6">
      <c r="A6" s="30" t="inlineStr">
        <is>
          <t>Email:</t>
        </is>
      </c>
      <c r="B6" s="31" t="inlineStr">
        <is>
          <t>apolivera1973@gmail.com</t>
        </is>
      </c>
    </row>
    <row r="7">
      <c r="A7" s="30" t="inlineStr">
        <is>
          <t>Teléfono:</t>
        </is>
      </c>
      <c r="B7" s="31" t="inlineStr"/>
    </row>
    <row r="8">
      <c r="A8" s="30" t="inlineStr">
        <is>
          <t>Dirección:</t>
        </is>
      </c>
      <c r="B8" s="31" t="inlineStr"/>
    </row>
    <row r="9">
      <c r="A9" s="30" t="inlineStr">
        <is>
          <t>Fecha:</t>
        </is>
      </c>
      <c r="B9" s="31">
        <f>TODAY()</f>
        <v/>
      </c>
    </row>
    <row r="10">
      <c r="A10" s="32" t="inlineStr">
        <is>
          <t>CONFIGURACIÓN DEL SISTEMA</t>
        </is>
      </c>
    </row>
    <row r="11">
      <c r="A11" s="30" t="inlineStr">
        <is>
          <t>Voltaje del sistema:</t>
        </is>
      </c>
      <c r="B11" s="33">
        <f>Calculadora!D27&amp;" V"</f>
        <v/>
      </c>
    </row>
    <row r="12">
      <c r="A12" s="30" t="inlineStr">
        <is>
          <t>Frecuencia:</t>
        </is>
      </c>
      <c r="B12" s="33">
        <f>Calculadora!D28&amp;" Hz"</f>
        <v/>
      </c>
    </row>
    <row r="13">
      <c r="A13" s="30" t="inlineStr">
        <is>
          <t>Tipo de red eléctrica:</t>
        </is>
      </c>
      <c r="B13" s="33">
        <f>Calculadora!D29</f>
        <v/>
      </c>
    </row>
    <row r="14">
      <c r="A14" s="30" t="inlineStr">
        <is>
          <t>Tipo de inversor:</t>
        </is>
      </c>
      <c r="B14" s="33">
        <f>Calculadora!D30</f>
        <v/>
      </c>
    </row>
    <row r="16">
      <c r="A16" s="34" t="inlineStr">
        <is>
          <t>RESULTADOS DEL DIMENSIONAMIENTO</t>
        </is>
      </c>
    </row>
    <row r="17">
      <c r="A17" s="30" t="inlineStr">
        <is>
          <t>Consumo diario:</t>
        </is>
      </c>
      <c r="B17" s="33">
        <f>Calculadora!D53&amp;" Wh/día"</f>
        <v/>
      </c>
    </row>
    <row r="18">
      <c r="A18" s="30" t="inlineStr">
        <is>
          <t>Potencia de paneles solares:</t>
        </is>
      </c>
      <c r="B18" s="33">
        <f>Calculadora!D58&amp;" Wp"</f>
        <v/>
      </c>
    </row>
    <row r="19">
      <c r="A19" s="30" t="inlineStr">
        <is>
          <t>Cantidad de paneles:</t>
        </is>
      </c>
      <c r="B19" s="33">
        <f>Calculadora!D59&amp;" paneles de "&amp;Calculadora!D33&amp;"W"</f>
        <v/>
      </c>
    </row>
    <row r="20">
      <c r="A20" s="30" t="inlineStr">
        <is>
          <t>Configuración de paneles:</t>
        </is>
      </c>
      <c r="B20" s="33">
        <f>Calculadora!D36&amp;" - "&amp;Calculadora!D37&amp;" paneles/string"</f>
        <v/>
      </c>
    </row>
    <row r="21">
      <c r="A21" s="30" t="inlineStr">
        <is>
          <t>Voltaje del string:</t>
        </is>
      </c>
      <c r="B21" s="33">
        <f>TEXT(Calculadora!D40,"0.00")&amp;" V"</f>
        <v/>
      </c>
    </row>
    <row r="22">
      <c r="A22" s="30" t="inlineStr">
        <is>
          <t>Corriente del string:</t>
        </is>
      </c>
      <c r="B22" s="33">
        <f>TEXT(Calculadora!D41,"0.00")&amp;" A"</f>
        <v/>
      </c>
    </row>
    <row r="23">
      <c r="A23" s="30" t="inlineStr">
        <is>
          <t>Número de strings:</t>
        </is>
      </c>
      <c r="B23" s="33">
        <f>Calculadora!D60&amp;" strings"</f>
        <v/>
      </c>
    </row>
    <row r="24">
      <c r="A24" s="30" t="inlineStr">
        <is>
          <t>Potencia del inversor:</t>
        </is>
      </c>
      <c r="B24" s="33">
        <f>ROUND(Calculadora!D61/1000,1)&amp;" kW"</f>
        <v/>
      </c>
    </row>
    <row r="25">
      <c r="A25" s="30" t="inlineStr">
        <is>
          <t>Capacidad de baterías:</t>
        </is>
      </c>
      <c r="B25" s="33">
        <f>ROUND(Calculadora!D56,0)&amp;" Ah @ "&amp;Calculadora!D27&amp;"V"</f>
        <v/>
      </c>
    </row>
    <row r="26">
      <c r="A26" s="30" t="inlineStr">
        <is>
          <t>Tipo de batería:</t>
        </is>
      </c>
      <c r="B26" s="33">
        <f>Calculadora!D46</f>
        <v/>
      </c>
    </row>
    <row r="27">
      <c r="A27" s="30" t="inlineStr">
        <is>
          <t>Corriente controlador:</t>
        </is>
      </c>
      <c r="B27" s="33">
        <f>ROUND(Calculadora!D62,0)&amp;" A"</f>
        <v/>
      </c>
    </row>
    <row r="29">
      <c r="A29" s="35" t="inlineStr">
        <is>
          <t>OBSERVACIONES Y RECOMENDACIONES</t>
        </is>
      </c>
    </row>
    <row r="30">
      <c r="A30" t="inlineStr">
        <is>
          <t>• Sistema dimensionado para consumo diario con 1 día de autonomía</t>
        </is>
      </c>
    </row>
    <row r="31">
      <c r="A31" t="inlineStr">
        <is>
          <t>• Los paneles deben orientarse al sur (hemisferio norte) con inclinación óptima</t>
        </is>
      </c>
    </row>
    <row r="32">
      <c r="A32" t="inlineStr">
        <is>
          <t>• Se recomienda instalación profesional certificada</t>
        </is>
      </c>
    </row>
    <row r="33">
      <c r="A33" t="inlineStr">
        <is>
          <t>• Mantenimiento periódico de paneles y baterías requerido</t>
        </is>
      </c>
    </row>
    <row r="34">
      <c r="A34" t="inlineStr">
        <is>
          <t>• Verificar normativa eléctrica local antes de instalación</t>
        </is>
      </c>
    </row>
  </sheetData>
  <mergeCells count="31">
    <mergeCell ref="A16:F16"/>
    <mergeCell ref="B7:F7"/>
    <mergeCell ref="B25:F25"/>
    <mergeCell ref="B22:F22"/>
    <mergeCell ref="B18:F18"/>
    <mergeCell ref="B27:F27"/>
    <mergeCell ref="B21:F21"/>
    <mergeCell ref="A2:F2"/>
    <mergeCell ref="A33:F33"/>
    <mergeCell ref="B12:F12"/>
    <mergeCell ref="B11:F11"/>
    <mergeCell ref="A32:F32"/>
    <mergeCell ref="B23:F23"/>
    <mergeCell ref="A4:F4"/>
    <mergeCell ref="B14:F14"/>
    <mergeCell ref="B8:F8"/>
    <mergeCell ref="B17:F17"/>
    <mergeCell ref="A29:F29"/>
    <mergeCell ref="B13:F13"/>
    <mergeCell ref="A10:F10"/>
    <mergeCell ref="B19:F19"/>
    <mergeCell ref="A31:F31"/>
    <mergeCell ref="A34:F34"/>
    <mergeCell ref="A30:F30"/>
    <mergeCell ref="B9:F9"/>
    <mergeCell ref="B6:F6"/>
    <mergeCell ref="B24:F24"/>
    <mergeCell ref="B20:F20"/>
    <mergeCell ref="A1:F1"/>
    <mergeCell ref="B5:F5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2025-12-13T05:37:06Z</dcterms:created>
  <dcterms:modified xsi:type="dcterms:W3CDTF">2025-12-13T05:37:06Z</dcterms:modified>
</cp:coreProperties>
</file>