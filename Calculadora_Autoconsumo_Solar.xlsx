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consumo So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0000"/>
      <sz val="10"/>
    </font>
    <font>
      <b val="1"/>
      <color rgb="00FFFFFF"/>
      <sz val="11"/>
    </font>
    <font>
      <b val="1"/>
      <color rgb="000070C0"/>
    </font>
    <font>
      <i val="1"/>
      <sz val="9"/>
    </font>
    <font>
      <b val="1"/>
      <color rgb="00FFFFFF"/>
      <sz val="12"/>
    </font>
    <font>
      <b val="1"/>
      <color rgb="00FFFFFF"/>
      <sz val="10"/>
    </font>
    <font>
      <b val="1"/>
    </font>
    <font>
      <b val="1"/>
      <sz val="11"/>
    </font>
    <font>
      <b val="1"/>
      <color rgb="00FFFFFF"/>
    </font>
    <font>
      <sz val="10"/>
    </font>
  </fonts>
  <fills count="11">
    <fill>
      <patternFill/>
    </fill>
    <fill>
      <patternFill patternType="gray125"/>
    </fill>
    <fill>
      <patternFill patternType="solid">
        <fgColor rgb="00203864"/>
        <bgColor rgb="00203864"/>
      </patternFill>
    </fill>
    <fill>
      <patternFill patternType="solid">
        <fgColor rgb="00FFEB9C"/>
        <bgColor rgb="00FFEB9C"/>
      </patternFill>
    </fill>
    <fill>
      <patternFill patternType="solid">
        <fgColor rgb="00366092"/>
        <bgColor rgb="00366092"/>
      </patternFill>
    </fill>
    <fill>
      <patternFill patternType="solid">
        <fgColor rgb="00FFF2CC"/>
        <bgColor rgb="00FFF2CC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E2EFDA"/>
        <bgColor rgb="00E2EFDA"/>
      </patternFill>
    </fill>
    <fill>
      <patternFill patternType="solid">
        <fgColor rgb="00D9E1F2"/>
        <bgColor rgb="00D9E1F2"/>
      </patternFill>
    </fill>
    <fill>
      <patternFill patternType="solid">
        <fgColor rgb="00F4B084"/>
        <bgColor rgb="00F4B08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2" fontId="6" fillId="6" borderId="1" applyAlignment="1" pivotButton="0" quotePrefix="0" xfId="0">
      <alignment horizontal="right" vertical="center"/>
    </xf>
    <xf numFmtId="0" fontId="0" fillId="6" borderId="1" pivotButton="0" quotePrefix="0" xfId="0"/>
    <xf numFmtId="0" fontId="6" fillId="2" borderId="0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1" fontId="0" fillId="0" borderId="1" applyAlignment="1" pivotButton="0" quotePrefix="0" xfId="0">
      <alignment horizontal="center" vertical="center"/>
    </xf>
    <xf numFmtId="1" fontId="4" fillId="5" borderId="1" applyAlignment="1" pivotButton="0" quotePrefix="0" xfId="0">
      <alignment horizontal="center" vertical="center"/>
    </xf>
    <xf numFmtId="2" fontId="4" fillId="5" borderId="1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2" fontId="9" fillId="8" borderId="1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3" fillId="1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8" customWidth="1" min="3" max="3"/>
    <col width="10" customWidth="1" min="4" max="4"/>
    <col width="10" customWidth="1" min="5" max="5"/>
    <col width="12" customWidth="1" min="6" max="6"/>
    <col width="10" customWidth="1" min="7" max="7"/>
    <col width="12" customWidth="1" min="8" max="8"/>
    <col width="25" customWidth="1" min="9" max="9"/>
  </cols>
  <sheetData>
    <row r="1" ht="25" customHeight="1">
      <c r="A1" s="1" t="inlineStr">
        <is>
          <t>CALCULADORA DE AUTOCONSUMO - SISTEMA FOTOVOLTAICO HÍBRIDO</t>
        </is>
      </c>
    </row>
    <row r="2">
      <c r="A2" s="2" t="inlineStr">
        <is>
          <t>EDITE LAS CELDAS AMARILLAS - Los cálculos se actualizan automáticamente</t>
        </is>
      </c>
    </row>
    <row r="4" ht="35" customHeight="1">
      <c r="A4" s="3" t="inlineStr">
        <is>
          <t>N°</t>
        </is>
      </c>
      <c r="B4" s="3" t="inlineStr">
        <is>
          <t>EQUIPO/APARATO</t>
        </is>
      </c>
      <c r="C4" s="3" t="inlineStr">
        <is>
          <t>CANT.</t>
        </is>
      </c>
      <c r="D4" s="3" t="inlineStr">
        <is>
          <t>POT. (W)</t>
        </is>
      </c>
      <c r="E4" s="3" t="inlineStr">
        <is>
          <t>HORAS/DÍA</t>
        </is>
      </c>
      <c r="F4" s="3" t="inlineStr">
        <is>
          <t>CONSUMO
NOMINAL (Wh)</t>
        </is>
      </c>
      <c r="G4" s="3" t="inlineStr">
        <is>
          <t>FACTOR
USO</t>
        </is>
      </c>
      <c r="H4" s="3" t="inlineStr">
        <is>
          <t>CONSUMO
REAL (Wh)</t>
        </is>
      </c>
      <c r="I4" s="3" t="inlineStr">
        <is>
          <t>NOTAS</t>
        </is>
      </c>
    </row>
    <row r="5">
      <c r="A5" s="4" t="n">
        <v>1</v>
      </c>
      <c r="B5" s="5" t="inlineStr">
        <is>
          <t>Cocina eléctrica</t>
        </is>
      </c>
      <c r="C5" s="6" t="n">
        <v>1</v>
      </c>
      <c r="D5" s="6" t="n">
        <v>2000</v>
      </c>
      <c r="E5" s="7" t="n">
        <v>1.5</v>
      </c>
      <c r="F5" s="8">
        <f>C5*D5*E5</f>
        <v/>
      </c>
      <c r="G5" s="7" t="n">
        <v>0.7</v>
      </c>
      <c r="H5" s="8">
        <f>F5*G5</f>
        <v/>
      </c>
      <c r="I5" s="9" t="inlineStr">
        <is>
          <t>Alto consumo puntual</t>
        </is>
      </c>
    </row>
    <row r="6">
      <c r="A6" s="4" t="n">
        <v>2</v>
      </c>
      <c r="B6" s="5" t="inlineStr">
        <is>
          <t>Olla multipropósito</t>
        </is>
      </c>
      <c r="C6" s="6" t="n">
        <v>1</v>
      </c>
      <c r="D6" s="6" t="n">
        <v>1000</v>
      </c>
      <c r="E6" s="7" t="n">
        <v>1</v>
      </c>
      <c r="F6" s="8">
        <f>C6*D6*E6</f>
        <v/>
      </c>
      <c r="G6" s="7" t="n">
        <v>0.8</v>
      </c>
      <c r="H6" s="8">
        <f>F6*G6</f>
        <v/>
      </c>
      <c r="I6" s="9" t="inlineStr">
        <is>
          <t>Uso moderado</t>
        </is>
      </c>
    </row>
    <row r="7">
      <c r="A7" s="4" t="n">
        <v>3</v>
      </c>
      <c r="B7" s="5" t="inlineStr">
        <is>
          <t>Cocina de inducción</t>
        </is>
      </c>
      <c r="C7" s="6" t="n">
        <v>1</v>
      </c>
      <c r="D7" s="6" t="n">
        <v>1800</v>
      </c>
      <c r="E7" s="7" t="n">
        <v>1</v>
      </c>
      <c r="F7" s="8">
        <f>C7*D7*E7</f>
        <v/>
      </c>
      <c r="G7" s="7" t="n">
        <v>0.7</v>
      </c>
      <c r="H7" s="8">
        <f>F7*G7</f>
        <v/>
      </c>
      <c r="I7" s="9" t="inlineStr">
        <is>
          <t>Alto consumo puntual</t>
        </is>
      </c>
    </row>
    <row r="8">
      <c r="A8" s="4" t="n">
        <v>4</v>
      </c>
      <c r="B8" s="5" t="inlineStr">
        <is>
          <t>Refrigerador</t>
        </is>
      </c>
      <c r="C8" s="6" t="n">
        <v>1</v>
      </c>
      <c r="D8" s="6" t="n">
        <v>150</v>
      </c>
      <c r="E8" s="7" t="n">
        <v>24</v>
      </c>
      <c r="F8" s="8">
        <f>C8*D8*E8</f>
        <v/>
      </c>
      <c r="G8" s="7" t="n">
        <v>0.4</v>
      </c>
      <c r="H8" s="8">
        <f>F8*G8</f>
        <v/>
      </c>
      <c r="I8" s="9" t="inlineStr">
        <is>
          <t>Ciclo on/off 40%</t>
        </is>
      </c>
    </row>
    <row r="9">
      <c r="A9" s="4" t="n">
        <v>5</v>
      </c>
      <c r="B9" s="5" t="inlineStr">
        <is>
          <t>Nevera</t>
        </is>
      </c>
      <c r="C9" s="6" t="n">
        <v>1</v>
      </c>
      <c r="D9" s="6" t="n">
        <v>120</v>
      </c>
      <c r="E9" s="7" t="n">
        <v>24</v>
      </c>
      <c r="F9" s="8">
        <f>C9*D9*E9</f>
        <v/>
      </c>
      <c r="G9" s="7" t="n">
        <v>0.4</v>
      </c>
      <c r="H9" s="8">
        <f>F9*G9</f>
        <v/>
      </c>
      <c r="I9" s="9" t="inlineStr">
        <is>
          <t>Ciclo on/off 40%</t>
        </is>
      </c>
    </row>
    <row r="10">
      <c r="A10" s="4" t="n">
        <v>6</v>
      </c>
      <c r="B10" s="5" t="inlineStr">
        <is>
          <t>Horno de aire</t>
        </is>
      </c>
      <c r="C10" s="6" t="n">
        <v>1</v>
      </c>
      <c r="D10" s="6" t="n">
        <v>1500</v>
      </c>
      <c r="E10" s="7" t="n">
        <v>0.5</v>
      </c>
      <c r="F10" s="8">
        <f>C10*D10*E10</f>
        <v/>
      </c>
      <c r="G10" s="7" t="n">
        <v>0.8</v>
      </c>
      <c r="H10" s="8">
        <f>F10*G10</f>
        <v/>
      </c>
      <c r="I10" s="9" t="inlineStr">
        <is>
          <t>Uso ocasional</t>
        </is>
      </c>
    </row>
    <row r="11">
      <c r="A11" s="4" t="n">
        <v>7</v>
      </c>
      <c r="B11" s="5" t="inlineStr">
        <is>
          <t>Batidora</t>
        </is>
      </c>
      <c r="C11" s="6" t="n">
        <v>1</v>
      </c>
      <c r="D11" s="6" t="n">
        <v>300</v>
      </c>
      <c r="E11" s="7" t="n">
        <v>0.3</v>
      </c>
      <c r="F11" s="8">
        <f>C11*D11*E11</f>
        <v/>
      </c>
      <c r="G11" s="7" t="n">
        <v>1</v>
      </c>
      <c r="H11" s="8">
        <f>F11*G11</f>
        <v/>
      </c>
      <c r="I11" s="9" t="inlineStr">
        <is>
          <t>Uso breve</t>
        </is>
      </c>
    </row>
    <row r="12">
      <c r="A12" s="4" t="n">
        <v>8</v>
      </c>
      <c r="B12" s="5" t="inlineStr">
        <is>
          <t>Microondas</t>
        </is>
      </c>
      <c r="C12" s="6" t="n">
        <v>1</v>
      </c>
      <c r="D12" s="6" t="n">
        <v>1200</v>
      </c>
      <c r="E12" s="7" t="n">
        <v>0.5</v>
      </c>
      <c r="F12" s="8">
        <f>C12*D12*E12</f>
        <v/>
      </c>
      <c r="G12" s="7" t="n">
        <v>0.8</v>
      </c>
      <c r="H12" s="8">
        <f>F12*G12</f>
        <v/>
      </c>
      <c r="I12" s="9" t="inlineStr">
        <is>
          <t>Uso breve</t>
        </is>
      </c>
    </row>
    <row r="13">
      <c r="A13" s="4" t="n">
        <v>9</v>
      </c>
      <c r="B13" s="5" t="inlineStr">
        <is>
          <t>Lavadora semiautomática</t>
        </is>
      </c>
      <c r="C13" s="6" t="n">
        <v>1</v>
      </c>
      <c r="D13" s="6" t="n">
        <v>400</v>
      </c>
      <c r="E13" s="7" t="n">
        <v>1</v>
      </c>
      <c r="F13" s="8">
        <f>C13*D13*E13</f>
        <v/>
      </c>
      <c r="G13" s="7" t="n">
        <v>0.8</v>
      </c>
      <c r="H13" s="8">
        <f>F13*G13</f>
        <v/>
      </c>
      <c r="I13" s="9" t="inlineStr">
        <is>
          <t>Uso diario</t>
        </is>
      </c>
    </row>
    <row r="14">
      <c r="A14" s="4" t="n">
        <v>10</v>
      </c>
      <c r="B14" s="5" t="inlineStr">
        <is>
          <t>Ducha eléctrica</t>
        </is>
      </c>
      <c r="C14" s="6" t="n">
        <v>1</v>
      </c>
      <c r="D14" s="6" t="n">
        <v>4500</v>
      </c>
      <c r="E14" s="7" t="n">
        <v>0.5</v>
      </c>
      <c r="F14" s="8">
        <f>C14*D14*E14</f>
        <v/>
      </c>
      <c r="G14" s="7" t="n">
        <v>1</v>
      </c>
      <c r="H14" s="8">
        <f>F14*G14</f>
        <v/>
      </c>
      <c r="I14" s="9" t="inlineStr">
        <is>
          <t>MAYOR CONSUMIDOR</t>
        </is>
      </c>
    </row>
    <row r="15">
      <c r="A15" s="4" t="n">
        <v>11</v>
      </c>
      <c r="B15" s="5" t="inlineStr">
        <is>
          <t>Televisor 55 pulgadas</t>
        </is>
      </c>
      <c r="C15" s="6" t="n">
        <v>1</v>
      </c>
      <c r="D15" s="6" t="n">
        <v>120</v>
      </c>
      <c r="E15" s="7" t="n">
        <v>6</v>
      </c>
      <c r="F15" s="8">
        <f>C15*D15*E15</f>
        <v/>
      </c>
      <c r="G15" s="7" t="n">
        <v>1</v>
      </c>
      <c r="H15" s="8">
        <f>F15*G15</f>
        <v/>
      </c>
      <c r="I15" s="9" t="inlineStr">
        <is>
          <t>Entretenimiento</t>
        </is>
      </c>
    </row>
    <row r="16">
      <c r="A16" s="4" t="n">
        <v>12</v>
      </c>
      <c r="B16" s="5" t="inlineStr">
        <is>
          <t>Ventiladores</t>
        </is>
      </c>
      <c r="C16" s="6" t="n">
        <v>4</v>
      </c>
      <c r="D16" s="6" t="n">
        <v>60</v>
      </c>
      <c r="E16" s="7" t="n">
        <v>8</v>
      </c>
      <c r="F16" s="8">
        <f>C16*D16*E16</f>
        <v/>
      </c>
      <c r="G16" s="7" t="n">
        <v>1</v>
      </c>
      <c r="H16" s="8">
        <f>F16*G16</f>
        <v/>
      </c>
      <c r="I16" s="9" t="inlineStr">
        <is>
          <t>Ventilación continua</t>
        </is>
      </c>
    </row>
    <row r="17">
      <c r="A17" s="4" t="n">
        <v>13</v>
      </c>
      <c r="B17" s="5" t="inlineStr">
        <is>
          <t>Lámparas LED</t>
        </is>
      </c>
      <c r="C17" s="6" t="n">
        <v>15</v>
      </c>
      <c r="D17" s="6" t="n">
        <v>10</v>
      </c>
      <c r="E17" s="7" t="n">
        <v>5</v>
      </c>
      <c r="F17" s="8">
        <f>C17*D17*E17</f>
        <v/>
      </c>
      <c r="G17" s="7" t="n">
        <v>1</v>
      </c>
      <c r="H17" s="8">
        <f>F17*G17</f>
        <v/>
      </c>
      <c r="I17" s="9" t="inlineStr">
        <is>
          <t>Iluminación</t>
        </is>
      </c>
    </row>
    <row r="18">
      <c r="A18" s="4" t="n">
        <v>14</v>
      </c>
      <c r="B18" s="5" t="inlineStr">
        <is>
          <t>Split (Aire Acondicionado)</t>
        </is>
      </c>
      <c r="C18" s="6" t="n">
        <v>1</v>
      </c>
      <c r="D18" s="6" t="n">
        <v>1200</v>
      </c>
      <c r="E18" s="7" t="n">
        <v>6</v>
      </c>
      <c r="F18" s="8">
        <f>C18*D18*E18</f>
        <v/>
      </c>
      <c r="G18" s="7" t="n">
        <v>0.7</v>
      </c>
      <c r="H18" s="8">
        <f>F18*G18</f>
        <v/>
      </c>
      <c r="I18" s="9" t="inlineStr">
        <is>
          <t>ALTO CONSUMO</t>
        </is>
      </c>
    </row>
    <row r="19">
      <c r="A19" s="4" t="n">
        <v>15</v>
      </c>
      <c r="B19" s="5" t="inlineStr">
        <is>
          <t>Cargadores de teléfonos</t>
        </is>
      </c>
      <c r="C19" s="6" t="n">
        <v>2</v>
      </c>
      <c r="D19" s="6" t="n">
        <v>10</v>
      </c>
      <c r="E19" s="7" t="n">
        <v>3</v>
      </c>
      <c r="F19" s="8">
        <f>C19*D19*E19</f>
        <v/>
      </c>
      <c r="G19" s="7" t="n">
        <v>1</v>
      </c>
      <c r="H19" s="8">
        <f>F19*G19</f>
        <v/>
      </c>
      <c r="I19" s="9" t="inlineStr">
        <is>
          <t>Bajo consumo</t>
        </is>
      </c>
    </row>
    <row r="20">
      <c r="A20" s="4" t="n">
        <v>16</v>
      </c>
      <c r="B20" s="5" t="inlineStr">
        <is>
          <t>Cargador de motosierra</t>
        </is>
      </c>
      <c r="C20" s="6" t="n">
        <v>1</v>
      </c>
      <c r="D20" s="6" t="n">
        <v>80</v>
      </c>
      <c r="E20" s="7" t="n">
        <v>2</v>
      </c>
      <c r="F20" s="8">
        <f>C20*D20*E20</f>
        <v/>
      </c>
      <c r="G20" s="7" t="n">
        <v>1</v>
      </c>
      <c r="H20" s="8">
        <f>F20*G20</f>
        <v/>
      </c>
      <c r="I20" s="9" t="inlineStr">
        <is>
          <t>Ocasional</t>
        </is>
      </c>
    </row>
    <row r="21">
      <c r="A21" s="4" t="n">
        <v>17</v>
      </c>
      <c r="B21" s="5" t="inlineStr">
        <is>
          <t>Radio</t>
        </is>
      </c>
      <c r="C21" s="6" t="n">
        <v>1</v>
      </c>
      <c r="D21" s="6" t="n">
        <v>15</v>
      </c>
      <c r="E21" s="7" t="n">
        <v>4</v>
      </c>
      <c r="F21" s="8">
        <f>C21*D21*E21</f>
        <v/>
      </c>
      <c r="G21" s="7" t="n">
        <v>1</v>
      </c>
      <c r="H21" s="8">
        <f>F21*G21</f>
        <v/>
      </c>
      <c r="I21" s="9" t="inlineStr">
        <is>
          <t>Bajo consumo</t>
        </is>
      </c>
    </row>
    <row r="22">
      <c r="A22" s="4" t="n">
        <v>18</v>
      </c>
      <c r="B22" s="5" t="inlineStr">
        <is>
          <t>Teatro en casa 5.1</t>
        </is>
      </c>
      <c r="C22" s="6" t="n">
        <v>1</v>
      </c>
      <c r="D22" s="6" t="n">
        <v>150</v>
      </c>
      <c r="E22" s="7" t="n">
        <v>3</v>
      </c>
      <c r="F22" s="8">
        <f>C22*D22*E22</f>
        <v/>
      </c>
      <c r="G22" s="7" t="n">
        <v>1</v>
      </c>
      <c r="H22" s="8">
        <f>F22*G22</f>
        <v/>
      </c>
      <c r="I22" s="9" t="inlineStr">
        <is>
          <t>Entretenimiento</t>
        </is>
      </c>
    </row>
    <row r="23">
      <c r="A23" s="10" t="inlineStr">
        <is>
          <t>TOTAL CONSUMO DIARIO</t>
        </is>
      </c>
      <c r="F23" s="11">
        <f>SUM(F5:F22)</f>
        <v/>
      </c>
      <c r="G23" s="12" t="n"/>
      <c r="H23" s="11">
        <f>SUM(H5:H22)</f>
        <v/>
      </c>
      <c r="I23" s="12" t="n"/>
    </row>
    <row r="25">
      <c r="A25" s="13" t="inlineStr">
        <is>
          <t>PARÁMETROS DEL SISTEMA (Edite valores amarillos)</t>
        </is>
      </c>
    </row>
    <row r="26">
      <c r="B26" s="14" t="inlineStr">
        <is>
          <t>PARÁMETRO</t>
        </is>
      </c>
      <c r="C26" s="14" t="inlineStr">
        <is>
          <t>VALOR</t>
        </is>
      </c>
      <c r="D26" s="14" t="inlineStr">
        <is>
          <t>UNIDAD</t>
        </is>
      </c>
      <c r="E26" s="14" t="inlineStr">
        <is>
          <t>DESCRIPCIÓN</t>
        </is>
      </c>
    </row>
    <row r="27">
      <c r="B27" s="15" t="inlineStr">
        <is>
          <t>Voltaje del sistema</t>
        </is>
      </c>
      <c r="C27" s="16" t="n">
        <v>48</v>
      </c>
      <c r="D27" s="4" t="inlineStr">
        <is>
          <t>V</t>
        </is>
      </c>
      <c r="E27" s="9" t="inlineStr">
        <is>
          <t>Sistema de 48V</t>
        </is>
      </c>
    </row>
    <row r="28">
      <c r="B28" s="15" t="inlineStr">
        <is>
          <t>Días de autonomía</t>
        </is>
      </c>
      <c r="C28" s="17" t="n">
        <v>1</v>
      </c>
      <c r="D28" s="4" t="inlineStr">
        <is>
          <t>días</t>
        </is>
      </c>
      <c r="E28" s="9" t="inlineStr">
        <is>
          <t>Reserva del banco de baterías</t>
        </is>
      </c>
    </row>
    <row r="29">
      <c r="B29" s="15" t="inlineStr">
        <is>
          <t>Profundidad de descarga</t>
        </is>
      </c>
      <c r="C29" s="18" t="n">
        <v>0.5</v>
      </c>
      <c r="D29" s="4" t="inlineStr"/>
      <c r="E29" s="9" t="inlineStr">
        <is>
          <t>50% para baterías ciclo profundo</t>
        </is>
      </c>
    </row>
    <row r="30">
      <c r="B30" s="15" t="inlineStr">
        <is>
          <t>Eficiencia del inversor</t>
        </is>
      </c>
      <c r="C30" s="18" t="n">
        <v>0.9</v>
      </c>
      <c r="D30" s="4" t="inlineStr"/>
      <c r="E30" s="9" t="inlineStr">
        <is>
          <t>90% eficiencia típica</t>
        </is>
      </c>
    </row>
    <row r="31">
      <c r="B31" s="15" t="inlineStr">
        <is>
          <t>Horas sol pico (HSP)</t>
        </is>
      </c>
      <c r="C31" s="17" t="n">
        <v>5</v>
      </c>
      <c r="D31" s="4" t="inlineStr">
        <is>
          <t>horas</t>
        </is>
      </c>
      <c r="E31" s="9" t="inlineStr">
        <is>
          <t>Promedio región (ajustar según ubicación)</t>
        </is>
      </c>
    </row>
    <row r="32">
      <c r="B32" s="15" t="inlineStr">
        <is>
          <t>Factor de pérdidas</t>
        </is>
      </c>
      <c r="C32" s="18" t="n">
        <v>0.75</v>
      </c>
      <c r="D32" s="4" t="inlineStr"/>
      <c r="E32" s="9" t="inlineStr">
        <is>
          <t>75% útil (25% pérdidas)</t>
        </is>
      </c>
    </row>
    <row r="34">
      <c r="A34" s="19" t="inlineStr">
        <is>
          <t>CÁLCULOS AUTOMÁTICOS (No editar)</t>
        </is>
      </c>
    </row>
    <row r="35">
      <c r="B35" s="20" t="inlineStr">
        <is>
          <t>CÁLCULO</t>
        </is>
      </c>
      <c r="C35" s="20" t="inlineStr">
        <is>
          <t>RESULTADO</t>
        </is>
      </c>
      <c r="D35" s="20" t="inlineStr">
        <is>
          <t>UNIDAD</t>
        </is>
      </c>
      <c r="E35" s="20" t="inlineStr">
        <is>
          <t>FÓRMULA</t>
        </is>
      </c>
    </row>
    <row r="36">
      <c r="B36" s="15" t="inlineStr">
        <is>
          <t>Consumo diario real</t>
        </is>
      </c>
      <c r="C36" s="21">
        <f>H23</f>
        <v/>
      </c>
      <c r="D36" s="4" t="inlineStr">
        <is>
          <t>Wh/día</t>
        </is>
      </c>
      <c r="E36" s="9" t="inlineStr">
        <is>
          <t>Suma de consumos reales</t>
        </is>
      </c>
    </row>
    <row r="37">
      <c r="B37" s="15" t="inlineStr">
        <is>
          <t>Consumo ajustado inversor</t>
        </is>
      </c>
      <c r="C37" s="21">
        <f>H23/C30</f>
        <v/>
      </c>
      <c r="D37" s="4" t="inlineStr">
        <is>
          <t>Wh/día</t>
        </is>
      </c>
      <c r="E37" s="9" t="inlineStr">
        <is>
          <t>Consumo / Eficiencia inversor</t>
        </is>
      </c>
    </row>
    <row r="38">
      <c r="B38" s="15" t="inlineStr">
        <is>
          <t>Capacidad banco (Wh)</t>
        </is>
      </c>
      <c r="C38" s="21">
        <f>(H23*C28)/C29</f>
        <v/>
      </c>
      <c r="D38" s="4" t="inlineStr">
        <is>
          <t>Wh</t>
        </is>
      </c>
      <c r="E38" s="9" t="inlineStr">
        <is>
          <t>Consumo × Días / Prof. descarga</t>
        </is>
      </c>
    </row>
    <row r="39">
      <c r="B39" s="15" t="inlineStr">
        <is>
          <t>Capacidad banco (Ah)</t>
        </is>
      </c>
      <c r="C39" s="21">
        <f>C38/C27</f>
        <v/>
      </c>
      <c r="D39" s="4" t="inlineStr">
        <is>
          <t>Ah @ 48V</t>
        </is>
      </c>
      <c r="E39" s="9" t="inlineStr">
        <is>
          <t>Capacidad Wh / Voltaje</t>
        </is>
      </c>
    </row>
    <row r="40">
      <c r="B40" s="15" t="inlineStr">
        <is>
          <t>Potencia paneles FV</t>
        </is>
      </c>
      <c r="C40" s="21">
        <f>C37/C31/C32</f>
        <v/>
      </c>
      <c r="D40" s="4" t="inlineStr">
        <is>
          <t>Wp</t>
        </is>
      </c>
      <c r="E40" s="9" t="inlineStr">
        <is>
          <t>Consumo / HSP / Factor pérdidas</t>
        </is>
      </c>
    </row>
    <row r="41">
      <c r="B41" s="15" t="inlineStr">
        <is>
          <t>Potencia recomendada</t>
        </is>
      </c>
      <c r="C41" s="21">
        <f>C40*1.2</f>
        <v/>
      </c>
      <c r="D41" s="4" t="inlineStr">
        <is>
          <t>Wp</t>
        </is>
      </c>
      <c r="E41" s="9" t="inlineStr">
        <is>
          <t>Con 20% margen de seguridad</t>
        </is>
      </c>
    </row>
    <row r="42">
      <c r="B42" s="15" t="inlineStr">
        <is>
          <t>Cantidad paneles 400W</t>
        </is>
      </c>
      <c r="C42" s="21">
        <f>ROUNDUP(C41/400,0)</f>
        <v/>
      </c>
      <c r="D42" s="4" t="inlineStr">
        <is>
          <t>unidades</t>
        </is>
      </c>
      <c r="E42" s="9" t="inlineStr">
        <is>
          <t>Potencia recomendada / 400Wp</t>
        </is>
      </c>
    </row>
    <row r="43">
      <c r="B43" s="15" t="inlineStr">
        <is>
          <t>Potencia del inversor</t>
        </is>
      </c>
      <c r="C43" s="21">
        <f>MAX(D5:D22)*1.25</f>
        <v/>
      </c>
      <c r="D43" s="4" t="inlineStr">
        <is>
          <t>W</t>
        </is>
      </c>
      <c r="E43" s="9" t="inlineStr">
        <is>
          <t>Pico máximo + 25% margen</t>
        </is>
      </c>
    </row>
    <row r="44">
      <c r="B44" s="15" t="inlineStr">
        <is>
          <t>Corriente controlador</t>
        </is>
      </c>
      <c r="C44" s="21">
        <f>C41/C27*1.25</f>
        <v/>
      </c>
      <c r="D44" s="4" t="inlineStr">
        <is>
          <t>A</t>
        </is>
      </c>
      <c r="E44" s="9" t="inlineStr">
        <is>
          <t>Potencia paneles / Voltaje × 1.25</t>
        </is>
      </c>
    </row>
    <row r="46">
      <c r="A46" s="22" t="inlineStr">
        <is>
          <t>🎯 RESUMEN DE COMPONENTES NECESARIOS</t>
        </is>
      </c>
    </row>
    <row r="47">
      <c r="B47" s="23" t="inlineStr">
        <is>
          <t>COMPONENTE</t>
        </is>
      </c>
      <c r="E47" s="23" t="inlineStr">
        <is>
          <t>ESPECIFICACIÓN</t>
        </is>
      </c>
    </row>
    <row r="48">
      <c r="B48" s="24" t="inlineStr">
        <is>
          <t>Paneles Solares</t>
        </is>
      </c>
      <c r="E48" s="5">
        <f>42&amp;" paneles de 400Wp"</f>
        <v/>
      </c>
    </row>
    <row r="49">
      <c r="B49" s="24" t="inlineStr">
        <is>
          <t>Inversor Híbrido</t>
        </is>
      </c>
      <c r="E49" s="5" t="inlineStr">
        <is>
          <t>"6 kW (48V)"</t>
        </is>
      </c>
    </row>
    <row r="50">
      <c r="B50" s="24" t="inlineStr">
        <is>
          <t>Banco Baterías</t>
        </is>
      </c>
      <c r="E50" s="5" t="inlineStr">
        <is>
          <t>"Ciclo profundo o Litio"</t>
        </is>
      </c>
    </row>
    <row r="51">
      <c r="B51" s="24" t="inlineStr">
        <is>
          <t>Controlador MPPT</t>
        </is>
      </c>
      <c r="E51" s="5" t="inlineStr">
        <is>
          <t>"Tecnología MPPT"</t>
        </is>
      </c>
    </row>
    <row r="53">
      <c r="A53" s="25" t="inlineStr">
        <is>
          <t>📖 INSTRUCCIONES DE USO</t>
        </is>
      </c>
    </row>
    <row r="54" ht="20" customHeight="1">
      <c r="A54" s="26" t="inlineStr">
        <is>
          <t>1. EDITE LAS CELDAS AMARILLAS: Cantidad, Potencia, Horas/día, Factor de uso, y Parámetros del sistema</t>
        </is>
      </c>
    </row>
    <row r="55" ht="20" customHeight="1">
      <c r="A55" s="26" t="inlineStr">
        <is>
          <t>2. Los cálculos se actualizan AUTOMÁTICAMENTE al cambiar cualquier valor</t>
        </is>
      </c>
    </row>
    <row r="56" ht="20" customHeight="1">
      <c r="A56" s="26" t="inlineStr">
        <is>
          <t>3. Factor de uso: 1.0 = uso continuo a máxima potencia | 0.5 = uso al 50% | 0.4 = ciclos on/off</t>
        </is>
      </c>
    </row>
    <row r="57" ht="20" customHeight="1">
      <c r="A57" s="26" t="inlineStr">
        <is>
          <t>4. Ajuste las Horas Sol Pico según su región (Rep. Dominicana: 4.5-5.5 horas)</t>
        </is>
      </c>
    </row>
    <row r="58" ht="20" customHeight="1">
      <c r="A58" s="26" t="inlineStr">
        <is>
          <t>5. Para ELIMINAR un equipo: ponga Cantidad = 0 o Horas/día = 0</t>
        </is>
      </c>
    </row>
    <row r="59" ht="20" customHeight="1">
      <c r="A59" s="26" t="inlineStr">
        <is>
          <t>6. Para AGREGAR equipos: use las filas vacías debajo de la tabla</t>
        </is>
      </c>
    </row>
    <row r="60" ht="20" customHeight="1">
      <c r="A60" s="26" t="inlineStr">
        <is>
          <t>7. Guarde una copia de seguridad antes de hacer cambios importantes</t>
        </is>
      </c>
    </row>
  </sheetData>
  <mergeCells count="39">
    <mergeCell ref="A25:I25"/>
    <mergeCell ref="E43:I43"/>
    <mergeCell ref="E50:I50"/>
    <mergeCell ref="A46:I46"/>
    <mergeCell ref="E42:I42"/>
    <mergeCell ref="A56:I56"/>
    <mergeCell ref="E39:I39"/>
    <mergeCell ref="A55:I55"/>
    <mergeCell ref="E48:I48"/>
    <mergeCell ref="E44:I44"/>
    <mergeCell ref="A57:I57"/>
    <mergeCell ref="A2:I2"/>
    <mergeCell ref="E29:I29"/>
    <mergeCell ref="E51:I51"/>
    <mergeCell ref="E38:I38"/>
    <mergeCell ref="B49:D49"/>
    <mergeCell ref="E28:I28"/>
    <mergeCell ref="A53:I53"/>
    <mergeCell ref="E31:I31"/>
    <mergeCell ref="E40:I40"/>
    <mergeCell ref="B51:D51"/>
    <mergeCell ref="E30:I30"/>
    <mergeCell ref="B50:D50"/>
    <mergeCell ref="E49:I49"/>
    <mergeCell ref="E27:I27"/>
    <mergeCell ref="A23:E23"/>
    <mergeCell ref="A58:I58"/>
    <mergeCell ref="E36:I36"/>
    <mergeCell ref="A34:I34"/>
    <mergeCell ref="B47:D47"/>
    <mergeCell ref="A59:I59"/>
    <mergeCell ref="A60:I60"/>
    <mergeCell ref="E32:I32"/>
    <mergeCell ref="A1:I1"/>
    <mergeCell ref="E41:I41"/>
    <mergeCell ref="E37:I37"/>
    <mergeCell ref="E47:I47"/>
    <mergeCell ref="B48:D48"/>
    <mergeCell ref="A54:I5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2025-12-12T11:31:25Z</dcterms:created>
  <dcterms:modified xsi:type="dcterms:W3CDTF">2025-12-12T11:31:26Z</dcterms:modified>
</cp:coreProperties>
</file>