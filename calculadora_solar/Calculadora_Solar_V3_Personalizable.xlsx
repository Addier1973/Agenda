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$#,##0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  <sz val="10"/>
    </font>
    <font>
      <b val="1"/>
      <color rgb="00FFFFFF"/>
      <sz val="11"/>
    </font>
    <font>
      <b val="1"/>
      <color rgb="000070C0"/>
    </font>
    <font>
      <i val="1"/>
      <sz val="9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  <font>
      <b val="1"/>
      <color rgb="000070C0"/>
      <sz val="11"/>
    </font>
    <font>
      <b val="1"/>
      <color rgb="00FFFFFF"/>
      <sz val="13"/>
    </font>
    <font>
      <b val="1"/>
      <color rgb="00FFFFFF"/>
      <sz val="9"/>
    </font>
    <font>
      <sz val="9"/>
    </font>
    <font>
      <sz val="10"/>
    </font>
    <font>
      <b val="1"/>
      <i val="1"/>
      <sz val="10"/>
    </font>
  </fonts>
  <fills count="1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91E63"/>
        <bgColor rgb="00E91E63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B3E5FC"/>
        <bgColor rgb="00B3E5FC"/>
      </patternFill>
    </fill>
    <fill>
      <patternFill patternType="solid">
        <fgColor rgb="00FFF9C4"/>
        <bgColor rgb="00FFF9C4"/>
      </patternFill>
    </fill>
    <fill>
      <patternFill patternType="solid">
        <fgColor rgb="009C27B0"/>
        <bgColor rgb="009C27B0"/>
      </patternFill>
    </fill>
    <fill>
      <patternFill patternType="solid">
        <fgColor rgb="00F57C00"/>
        <bgColor rgb="00F57C00"/>
      </patternFill>
    </fill>
    <fill>
      <patternFill patternType="solid">
        <fgColor rgb="004CAF50"/>
        <bgColor rgb="004CAF50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center"/>
    </xf>
    <xf numFmtId="0" fontId="5" fillId="0" borderId="1" pivotButton="0" quotePrefix="0" xfId="0"/>
    <xf numFmtId="0" fontId="6" fillId="6" borderId="1" applyAlignment="1" pivotButton="0" quotePrefix="0" xfId="0">
      <alignment horizontal="center"/>
    </xf>
    <xf numFmtId="2" fontId="6" fillId="6" borderId="1" applyAlignment="1" pivotButton="0" quotePrefix="0" xfId="0">
      <alignment horizontal="right"/>
    </xf>
    <xf numFmtId="0" fontId="0" fillId="6" borderId="1" pivotButton="0" quotePrefix="0" xfId="0"/>
    <xf numFmtId="0" fontId="6" fillId="7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2" fontId="9" fillId="9" borderId="1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7" fillId="10" borderId="1" applyAlignment="1" pivotButton="0" quotePrefix="0" xfId="0">
      <alignment horizontal="center" wrapText="1"/>
    </xf>
    <xf numFmtId="1" fontId="0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65" fontId="0" fillId="11" borderId="1" applyAlignment="1" pivotButton="0" quotePrefix="0" xfId="0">
      <alignment horizontal="right"/>
    </xf>
    <xf numFmtId="0" fontId="9" fillId="12" borderId="1" applyAlignment="1" pivotButton="0" quotePrefix="0" xfId="0">
      <alignment horizontal="right"/>
    </xf>
    <xf numFmtId="165" fontId="9" fillId="12" borderId="1" applyAlignment="1" pivotButton="0" quotePrefix="0" xfId="0">
      <alignment horizontal="right"/>
    </xf>
    <xf numFmtId="0" fontId="9" fillId="13" borderId="1" applyAlignment="1" pivotButton="0" quotePrefix="0" xfId="0">
      <alignment horizontal="right"/>
    </xf>
    <xf numFmtId="165" fontId="10" fillId="5" borderId="1" applyAlignment="1" pivotButton="0" quotePrefix="0" xfId="0">
      <alignment horizontal="right"/>
    </xf>
    <xf numFmtId="0" fontId="11" fillId="10" borderId="1" applyAlignment="1" pivotButton="0" quotePrefix="0" xfId="0">
      <alignment horizontal="right"/>
    </xf>
    <xf numFmtId="165" fontId="11" fillId="10" borderId="1" applyAlignment="1" pivotButton="0" quotePrefix="0" xfId="0">
      <alignment horizontal="right"/>
    </xf>
    <xf numFmtId="0" fontId="3" fillId="14" borderId="0" applyAlignment="1" pivotButton="0" quotePrefix="0" xfId="0">
      <alignment horizontal="center"/>
    </xf>
    <xf numFmtId="0" fontId="12" fillId="14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3" fillId="15" borderId="0" applyAlignment="1" pivotButton="0" quotePrefix="0" xfId="0">
      <alignment horizontal="center"/>
    </xf>
    <xf numFmtId="0" fontId="12" fillId="15" borderId="1" applyAlignment="1" pivotButton="0" quotePrefix="0" xfId="0">
      <alignment horizontal="center" wrapText="1"/>
    </xf>
    <xf numFmtId="166" fontId="13" fillId="0" borderId="1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14" fillId="0" borderId="1" applyAlignment="1" pivotButton="0" quotePrefix="0" xfId="0">
      <alignment horizontal="left" wrapText="1"/>
    </xf>
    <xf numFmtId="0" fontId="15" fillId="1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4" customWidth="1" min="4" max="4"/>
    <col width="12" customWidth="1" min="5" max="5"/>
    <col width="18" customWidth="1" min="6" max="6"/>
    <col width="8" customWidth="1" min="7" max="7"/>
    <col width="15" customWidth="1" min="8" max="8"/>
    <col width="28" customWidth="1" min="9" max="9"/>
  </cols>
  <sheetData>
    <row r="1" ht="25" customHeight="1">
      <c r="A1" s="1" t="inlineStr">
        <is>
          <t>CALCULADORA SOLAR V3 - TOTALMENTE PERSONALIZABLE</t>
        </is>
      </c>
    </row>
    <row r="2">
      <c r="A2" s="2" t="inlineStr">
        <is>
          <t>EDITE CELDAS AMARILLAS - Voltaje, Frecuencia, Tipo Inversor, Potencia Paneles - Todo ajustable</t>
        </is>
      </c>
    </row>
    <row r="4" ht="30" customHeight="1">
      <c r="A4" s="3" t="inlineStr">
        <is>
          <t>N°</t>
        </is>
      </c>
      <c r="B4" s="3" t="inlineStr">
        <is>
          <t>EQUIPO/APARATO</t>
        </is>
      </c>
      <c r="C4" s="3" t="inlineStr">
        <is>
          <t>CANT.</t>
        </is>
      </c>
      <c r="D4" s="3" t="inlineStr">
        <is>
          <t>POT.(W)</t>
        </is>
      </c>
      <c r="E4" s="3" t="inlineStr">
        <is>
          <t>H/DÍA</t>
        </is>
      </c>
      <c r="F4" s="3" t="inlineStr">
        <is>
          <t>CONSUMO(Wh)</t>
        </is>
      </c>
      <c r="G4" s="3" t="inlineStr">
        <is>
          <t>FACTOR</t>
        </is>
      </c>
      <c r="H4" s="3" t="inlineStr">
        <is>
          <t>CONSUMO REAL(Wh)</t>
        </is>
      </c>
      <c r="I4" s="3" t="inlineStr">
        <is>
          <t>NOTAS</t>
        </is>
      </c>
    </row>
    <row r="5">
      <c r="A5" s="4" t="n">
        <v>1</v>
      </c>
      <c r="B5" s="5" t="inlineStr">
        <is>
          <t>Cocina eléctrica</t>
        </is>
      </c>
      <c r="C5" s="6" t="n">
        <v>1</v>
      </c>
      <c r="D5" s="6" t="n">
        <v>2000</v>
      </c>
      <c r="E5" s="6" t="n">
        <v>1.5</v>
      </c>
      <c r="F5" s="7">
        <f>C5*D5*E5</f>
        <v/>
      </c>
      <c r="G5" s="8" t="n">
        <v>0.7</v>
      </c>
      <c r="H5" s="7">
        <f>F5*G5</f>
        <v/>
      </c>
      <c r="I5" s="9" t="inlineStr">
        <is>
          <t>Alto consumo puntual</t>
        </is>
      </c>
    </row>
    <row r="6">
      <c r="A6" s="4" t="n">
        <v>2</v>
      </c>
      <c r="B6" s="5" t="inlineStr">
        <is>
          <t>Olla multipropósito</t>
        </is>
      </c>
      <c r="C6" s="6" t="n">
        <v>1</v>
      </c>
      <c r="D6" s="6" t="n">
        <v>1000</v>
      </c>
      <c r="E6" s="6" t="n">
        <v>1</v>
      </c>
      <c r="F6" s="7">
        <f>C6*D6*E6</f>
        <v/>
      </c>
      <c r="G6" s="8" t="n">
        <v>0.8</v>
      </c>
      <c r="H6" s="7">
        <f>F6*G6</f>
        <v/>
      </c>
      <c r="I6" s="9" t="inlineStr">
        <is>
          <t>Uso moderado</t>
        </is>
      </c>
    </row>
    <row r="7">
      <c r="A7" s="4" t="n">
        <v>3</v>
      </c>
      <c r="B7" s="5" t="inlineStr">
        <is>
          <t>Cocina de inducción</t>
        </is>
      </c>
      <c r="C7" s="6" t="n">
        <v>1</v>
      </c>
      <c r="D7" s="6" t="n">
        <v>1800</v>
      </c>
      <c r="E7" s="6" t="n">
        <v>1</v>
      </c>
      <c r="F7" s="7">
        <f>C7*D7*E7</f>
        <v/>
      </c>
      <c r="G7" s="8" t="n">
        <v>0.7</v>
      </c>
      <c r="H7" s="7">
        <f>F7*G7</f>
        <v/>
      </c>
      <c r="I7" s="9" t="inlineStr">
        <is>
          <t>Alto consumo puntual</t>
        </is>
      </c>
    </row>
    <row r="8">
      <c r="A8" s="4" t="n">
        <v>4</v>
      </c>
      <c r="B8" s="5" t="inlineStr">
        <is>
          <t>Refrigerador</t>
        </is>
      </c>
      <c r="C8" s="6" t="n">
        <v>1</v>
      </c>
      <c r="D8" s="6" t="n">
        <v>150</v>
      </c>
      <c r="E8" s="6" t="n">
        <v>24</v>
      </c>
      <c r="F8" s="7">
        <f>C8*D8*E8</f>
        <v/>
      </c>
      <c r="G8" s="8" t="n">
        <v>0.4</v>
      </c>
      <c r="H8" s="7">
        <f>F8*G8</f>
        <v/>
      </c>
      <c r="I8" s="9" t="inlineStr">
        <is>
          <t>Ciclo on/off 40%</t>
        </is>
      </c>
    </row>
    <row r="9">
      <c r="A9" s="4" t="n">
        <v>5</v>
      </c>
      <c r="B9" s="5" t="inlineStr">
        <is>
          <t>Nevera</t>
        </is>
      </c>
      <c r="C9" s="6" t="n">
        <v>1</v>
      </c>
      <c r="D9" s="6" t="n">
        <v>120</v>
      </c>
      <c r="E9" s="6" t="n">
        <v>24</v>
      </c>
      <c r="F9" s="7">
        <f>C9*D9*E9</f>
        <v/>
      </c>
      <c r="G9" s="8" t="n">
        <v>0.4</v>
      </c>
      <c r="H9" s="7">
        <f>F9*G9</f>
        <v/>
      </c>
      <c r="I9" s="9" t="inlineStr">
        <is>
          <t>Ciclo on/off 40%</t>
        </is>
      </c>
    </row>
    <row r="10">
      <c r="A10" s="4" t="n">
        <v>6</v>
      </c>
      <c r="B10" s="5" t="inlineStr">
        <is>
          <t>Horno de aire</t>
        </is>
      </c>
      <c r="C10" s="6" t="n">
        <v>1</v>
      </c>
      <c r="D10" s="6" t="n">
        <v>1500</v>
      </c>
      <c r="E10" s="6" t="n">
        <v>0.5</v>
      </c>
      <c r="F10" s="7">
        <f>C10*D10*E10</f>
        <v/>
      </c>
      <c r="G10" s="8" t="n">
        <v>0.8</v>
      </c>
      <c r="H10" s="7">
        <f>F10*G10</f>
        <v/>
      </c>
      <c r="I10" s="9" t="inlineStr">
        <is>
          <t>Uso ocasional</t>
        </is>
      </c>
    </row>
    <row r="11">
      <c r="A11" s="4" t="n">
        <v>7</v>
      </c>
      <c r="B11" s="5" t="inlineStr">
        <is>
          <t>Batidora</t>
        </is>
      </c>
      <c r="C11" s="6" t="n">
        <v>1</v>
      </c>
      <c r="D11" s="6" t="n">
        <v>300</v>
      </c>
      <c r="E11" s="6" t="n">
        <v>0.3</v>
      </c>
      <c r="F11" s="7">
        <f>C11*D11*E11</f>
        <v/>
      </c>
      <c r="G11" s="8" t="n">
        <v>1</v>
      </c>
      <c r="H11" s="7">
        <f>F11*G11</f>
        <v/>
      </c>
      <c r="I11" s="9" t="inlineStr">
        <is>
          <t>Uso breve</t>
        </is>
      </c>
    </row>
    <row r="12">
      <c r="A12" s="4" t="n">
        <v>8</v>
      </c>
      <c r="B12" s="5" t="inlineStr">
        <is>
          <t>Microondas</t>
        </is>
      </c>
      <c r="C12" s="6" t="n">
        <v>1</v>
      </c>
      <c r="D12" s="6" t="n">
        <v>1200</v>
      </c>
      <c r="E12" s="6" t="n">
        <v>0.5</v>
      </c>
      <c r="F12" s="7">
        <f>C12*D12*E12</f>
        <v/>
      </c>
      <c r="G12" s="8" t="n">
        <v>0.8</v>
      </c>
      <c r="H12" s="7">
        <f>F12*G12</f>
        <v/>
      </c>
      <c r="I12" s="9" t="inlineStr">
        <is>
          <t>Uso breve</t>
        </is>
      </c>
    </row>
    <row r="13">
      <c r="A13" s="4" t="n">
        <v>9</v>
      </c>
      <c r="B13" s="5" t="inlineStr">
        <is>
          <t>Lavadora</t>
        </is>
      </c>
      <c r="C13" s="6" t="n">
        <v>1</v>
      </c>
      <c r="D13" s="6" t="n">
        <v>400</v>
      </c>
      <c r="E13" s="6" t="n">
        <v>1</v>
      </c>
      <c r="F13" s="7">
        <f>C13*D13*E13</f>
        <v/>
      </c>
      <c r="G13" s="8" t="n">
        <v>0.8</v>
      </c>
      <c r="H13" s="7">
        <f>F13*G13</f>
        <v/>
      </c>
      <c r="I13" s="9" t="inlineStr">
        <is>
          <t>Uso diario</t>
        </is>
      </c>
    </row>
    <row r="14">
      <c r="A14" s="4" t="n">
        <v>10</v>
      </c>
      <c r="B14" s="5" t="inlineStr">
        <is>
          <t>Ducha eléctrica</t>
        </is>
      </c>
      <c r="C14" s="6" t="n">
        <v>1</v>
      </c>
      <c r="D14" s="6" t="n">
        <v>4500</v>
      </c>
      <c r="E14" s="6" t="n">
        <v>0.5</v>
      </c>
      <c r="F14" s="7">
        <f>C14*D14*E14</f>
        <v/>
      </c>
      <c r="G14" s="8" t="n">
        <v>1</v>
      </c>
      <c r="H14" s="7">
        <f>F14*G14</f>
        <v/>
      </c>
      <c r="I14" s="9" t="inlineStr">
        <is>
          <t>MAYOR CONSUMIDOR</t>
        </is>
      </c>
    </row>
    <row r="15">
      <c r="A15" s="4" t="n">
        <v>11</v>
      </c>
      <c r="B15" s="5" t="inlineStr">
        <is>
          <t>TV 55"</t>
        </is>
      </c>
      <c r="C15" s="6" t="n">
        <v>1</v>
      </c>
      <c r="D15" s="6" t="n">
        <v>120</v>
      </c>
      <c r="E15" s="6" t="n">
        <v>6</v>
      </c>
      <c r="F15" s="7">
        <f>C15*D15*E15</f>
        <v/>
      </c>
      <c r="G15" s="8" t="n">
        <v>1</v>
      </c>
      <c r="H15" s="7">
        <f>F15*G15</f>
        <v/>
      </c>
      <c r="I15" s="9" t="inlineStr">
        <is>
          <t>Entretenimiento</t>
        </is>
      </c>
    </row>
    <row r="16">
      <c r="A16" s="4" t="n">
        <v>12</v>
      </c>
      <c r="B16" s="5" t="inlineStr">
        <is>
          <t>Ventiladores</t>
        </is>
      </c>
      <c r="C16" s="6" t="n">
        <v>4</v>
      </c>
      <c r="D16" s="6" t="n">
        <v>60</v>
      </c>
      <c r="E16" s="6" t="n">
        <v>8</v>
      </c>
      <c r="F16" s="7">
        <f>C16*D16*E16</f>
        <v/>
      </c>
      <c r="G16" s="8" t="n">
        <v>1</v>
      </c>
      <c r="H16" s="7">
        <f>F16*G16</f>
        <v/>
      </c>
      <c r="I16" s="9" t="inlineStr">
        <is>
          <t>4 unidades</t>
        </is>
      </c>
    </row>
    <row r="17">
      <c r="A17" s="4" t="n">
        <v>13</v>
      </c>
      <c r="B17" s="5" t="inlineStr">
        <is>
          <t>Lámparas LED</t>
        </is>
      </c>
      <c r="C17" s="6" t="n">
        <v>15</v>
      </c>
      <c r="D17" s="6" t="n">
        <v>10</v>
      </c>
      <c r="E17" s="6" t="n">
        <v>5</v>
      </c>
      <c r="F17" s="7">
        <f>C17*D17*E17</f>
        <v/>
      </c>
      <c r="G17" s="8" t="n">
        <v>1</v>
      </c>
      <c r="H17" s="7">
        <f>F17*G17</f>
        <v/>
      </c>
      <c r="I17" s="9" t="inlineStr">
        <is>
          <t>15 unidades</t>
        </is>
      </c>
    </row>
    <row r="18">
      <c r="A18" s="4" t="n">
        <v>14</v>
      </c>
      <c r="B18" s="5" t="inlineStr">
        <is>
          <t>Split (A/C)</t>
        </is>
      </c>
      <c r="C18" s="6" t="n">
        <v>1</v>
      </c>
      <c r="D18" s="6" t="n">
        <v>1200</v>
      </c>
      <c r="E18" s="6" t="n">
        <v>6</v>
      </c>
      <c r="F18" s="7">
        <f>C18*D18*E18</f>
        <v/>
      </c>
      <c r="G18" s="8" t="n">
        <v>0.7</v>
      </c>
      <c r="H18" s="7">
        <f>F18*G18</f>
        <v/>
      </c>
      <c r="I18" s="9" t="inlineStr">
        <is>
          <t>ALTO CONSUMO 25.6%</t>
        </is>
      </c>
    </row>
    <row r="19">
      <c r="A19" s="4" t="n">
        <v>15</v>
      </c>
      <c r="B19" s="5" t="inlineStr">
        <is>
          <t>Carg. teléfonos</t>
        </is>
      </c>
      <c r="C19" s="6" t="n">
        <v>2</v>
      </c>
      <c r="D19" s="6" t="n">
        <v>10</v>
      </c>
      <c r="E19" s="6" t="n">
        <v>3</v>
      </c>
      <c r="F19" s="7">
        <f>C19*D19*E19</f>
        <v/>
      </c>
      <c r="G19" s="8" t="n">
        <v>1</v>
      </c>
      <c r="H19" s="7">
        <f>F19*G19</f>
        <v/>
      </c>
      <c r="I19" s="9" t="inlineStr">
        <is>
          <t>Bajo consumo</t>
        </is>
      </c>
    </row>
    <row r="20">
      <c r="A20" s="4" t="n">
        <v>16</v>
      </c>
      <c r="B20" s="5" t="inlineStr">
        <is>
          <t>Carg. motosierra</t>
        </is>
      </c>
      <c r="C20" s="6" t="n">
        <v>1</v>
      </c>
      <c r="D20" s="6" t="n">
        <v>80</v>
      </c>
      <c r="E20" s="6" t="n">
        <v>2</v>
      </c>
      <c r="F20" s="7">
        <f>C20*D20*E20</f>
        <v/>
      </c>
      <c r="G20" s="8" t="n">
        <v>1</v>
      </c>
      <c r="H20" s="7">
        <f>F20*G20</f>
        <v/>
      </c>
      <c r="I20" s="9" t="inlineStr">
        <is>
          <t>Ocasional</t>
        </is>
      </c>
    </row>
    <row r="21">
      <c r="A21" s="4" t="n">
        <v>17</v>
      </c>
      <c r="B21" s="5" t="inlineStr">
        <is>
          <t>Radio</t>
        </is>
      </c>
      <c r="C21" s="6" t="n">
        <v>1</v>
      </c>
      <c r="D21" s="6" t="n">
        <v>15</v>
      </c>
      <c r="E21" s="6" t="n">
        <v>4</v>
      </c>
      <c r="F21" s="7">
        <f>C21*D21*E21</f>
        <v/>
      </c>
      <c r="G21" s="8" t="n">
        <v>1</v>
      </c>
      <c r="H21" s="7">
        <f>F21*G21</f>
        <v/>
      </c>
      <c r="I21" s="9" t="inlineStr">
        <is>
          <t>Bajo consumo</t>
        </is>
      </c>
    </row>
    <row r="22">
      <c r="A22" s="4" t="n">
        <v>18</v>
      </c>
      <c r="B22" s="5" t="inlineStr">
        <is>
          <t>Teatro casa</t>
        </is>
      </c>
      <c r="C22" s="6" t="n">
        <v>1</v>
      </c>
      <c r="D22" s="6" t="n">
        <v>150</v>
      </c>
      <c r="E22" s="6" t="n">
        <v>3</v>
      </c>
      <c r="F22" s="7">
        <f>C22*D22*E22</f>
        <v/>
      </c>
      <c r="G22" s="8" t="n">
        <v>1</v>
      </c>
      <c r="H22" s="7">
        <f>F22*G22</f>
        <v/>
      </c>
      <c r="I22" s="9" t="inlineStr">
        <is>
          <t>Entretenimiento</t>
        </is>
      </c>
    </row>
    <row r="23">
      <c r="A23" s="10" t="inlineStr">
        <is>
          <t>TOTAL CONSUMO DIARIO</t>
        </is>
      </c>
      <c r="F23" s="11">
        <f>SUM(F5:F22)</f>
        <v/>
      </c>
      <c r="G23" s="12" t="n"/>
      <c r="H23" s="11">
        <f>SUM(H5:H22)</f>
        <v/>
      </c>
      <c r="I23" s="12" t="n"/>
    </row>
    <row r="25">
      <c r="A25" s="13" t="inlineStr">
        <is>
          <t>⚙️ CONFIGURACIÓN DEL SISTEMA (Edite valores amarillos)</t>
        </is>
      </c>
    </row>
    <row r="26">
      <c r="B26" s="14" t="inlineStr">
        <is>
          <t>PARÁMETRO</t>
        </is>
      </c>
      <c r="D26" s="4" t="inlineStr">
        <is>
          <t>VALOR</t>
        </is>
      </c>
      <c r="E26" s="4" t="inlineStr">
        <is>
          <t>UNIDAD</t>
        </is>
      </c>
      <c r="F26" s="9" t="inlineStr">
        <is>
          <t>DESCRIPCIÓN</t>
        </is>
      </c>
    </row>
    <row r="27">
      <c r="B27" s="15" t="inlineStr">
        <is>
          <t>Voltaje del sistema</t>
        </is>
      </c>
      <c r="D27" s="6" t="n">
        <v>48</v>
      </c>
      <c r="E27" s="4" t="inlineStr">
        <is>
          <t>V</t>
        </is>
      </c>
      <c r="F27" s="9" t="inlineStr">
        <is>
          <t>Opciones: 12V, 24V, 48V, 96V</t>
        </is>
      </c>
    </row>
    <row r="28">
      <c r="B28" s="15" t="inlineStr">
        <is>
          <t>Frecuencia</t>
        </is>
      </c>
      <c r="D28" s="6" t="n">
        <v>60</v>
      </c>
      <c r="E28" s="4" t="inlineStr">
        <is>
          <t>Hz</t>
        </is>
      </c>
      <c r="F28" s="9" t="inlineStr">
        <is>
          <t>Opciones: 50Hz o 60Hz</t>
        </is>
      </c>
    </row>
    <row r="29">
      <c r="B29" s="15" t="inlineStr">
        <is>
          <t>Tipo de red</t>
        </is>
      </c>
      <c r="D29" s="6" t="inlineStr">
        <is>
          <t>110V Monofásico</t>
        </is>
      </c>
      <c r="E29" s="4" t="inlineStr"/>
      <c r="F29" s="9" t="inlineStr">
        <is>
          <t>Monofásico/Fase dividida/Trifásico</t>
        </is>
      </c>
    </row>
    <row r="30">
      <c r="B30" s="15" t="inlineStr">
        <is>
          <t>Tipo de inversor</t>
        </is>
      </c>
      <c r="D30" s="6" t="inlineStr">
        <is>
          <t>Híbrido</t>
        </is>
      </c>
      <c r="E30" s="4" t="inlineStr"/>
      <c r="F30" s="9" t="inlineStr">
        <is>
          <t>On-Grid/Off-Grid/Híbrido</t>
        </is>
      </c>
    </row>
    <row r="31">
      <c r="A31" s="16" t="inlineStr">
        <is>
          <t>🔋 PARÁMETROS DE BATERÍAS Y GENERACIÓN</t>
        </is>
      </c>
    </row>
    <row r="32">
      <c r="B32" s="17" t="inlineStr">
        <is>
          <t>PARÁMETRO</t>
        </is>
      </c>
      <c r="D32" s="4" t="inlineStr">
        <is>
          <t>VALOR</t>
        </is>
      </c>
      <c r="E32" s="4" t="inlineStr">
        <is>
          <t>UNIDAD</t>
        </is>
      </c>
      <c r="F32" s="9" t="inlineStr">
        <is>
          <t>DESCRIPCIÓN</t>
        </is>
      </c>
    </row>
    <row r="33">
      <c r="B33" s="15" t="inlineStr">
        <is>
          <t>Días de autonomía</t>
        </is>
      </c>
      <c r="D33" s="6" t="n">
        <v>1</v>
      </c>
      <c r="E33" s="4" t="inlineStr">
        <is>
          <t>días</t>
        </is>
      </c>
      <c r="F33" s="9" t="inlineStr">
        <is>
          <t>Reserva del banco de baterías</t>
        </is>
      </c>
    </row>
    <row r="34">
      <c r="B34" s="15" t="inlineStr">
        <is>
          <t>Tipo de batería</t>
        </is>
      </c>
      <c r="D34" s="6" t="inlineStr">
        <is>
          <t>Litio</t>
        </is>
      </c>
      <c r="E34" s="4" t="inlineStr"/>
      <c r="F34" s="9" t="inlineStr">
        <is>
          <t>Plomo-ácido/AGM/Gel/Litio</t>
        </is>
      </c>
    </row>
    <row r="35">
      <c r="B35" s="15" t="inlineStr">
        <is>
          <t>Profundidad descarga</t>
        </is>
      </c>
      <c r="D35" s="18" t="n">
        <v>0.8</v>
      </c>
      <c r="E35" s="4" t="inlineStr"/>
      <c r="F35" s="9" t="inlineStr">
        <is>
          <t>Plomo:0.5 | AGM:0.6 | Gel:0.7 | Litio:0.8</t>
        </is>
      </c>
    </row>
    <row r="36">
      <c r="B36" s="15" t="inlineStr">
        <is>
          <t>Eficiencia inversor</t>
        </is>
      </c>
      <c r="D36" s="18" t="n">
        <v>0.9</v>
      </c>
      <c r="E36" s="4" t="inlineStr"/>
      <c r="F36" s="9" t="inlineStr">
        <is>
          <t>90% eficiencia típica</t>
        </is>
      </c>
    </row>
    <row r="37">
      <c r="B37" s="15" t="inlineStr">
        <is>
          <t>Horas Sol Pico (HSP)</t>
        </is>
      </c>
      <c r="D37" s="6" t="n">
        <v>5</v>
      </c>
      <c r="E37" s="4" t="inlineStr">
        <is>
          <t>horas</t>
        </is>
      </c>
      <c r="F37" s="9" t="inlineStr">
        <is>
          <t>Rep. Dominicana: 4.5-5.5</t>
        </is>
      </c>
    </row>
    <row r="38">
      <c r="B38" s="15" t="inlineStr">
        <is>
          <t>Factor pérdidas</t>
        </is>
      </c>
      <c r="D38" s="18" t="n">
        <v>0.75</v>
      </c>
      <c r="E38" s="4" t="inlineStr"/>
      <c r="F38" s="9" t="inlineStr">
        <is>
          <t>75% útil (25% pérdidas)</t>
        </is>
      </c>
    </row>
    <row r="39">
      <c r="B39" s="15" t="inlineStr">
        <is>
          <t>Potencia panel solar</t>
        </is>
      </c>
      <c r="D39" s="6" t="n">
        <v>400</v>
      </c>
      <c r="E39" s="4" t="inlineStr">
        <is>
          <t>W</t>
        </is>
      </c>
      <c r="F39" s="9" t="inlineStr">
        <is>
          <t>Potencia de cada panel (editable)</t>
        </is>
      </c>
    </row>
    <row r="40">
      <c r="A40" s="19" t="inlineStr">
        <is>
          <t>📊 DIMENSIONAMIENTO CALCULADO AUTOMÁTICAMENTE</t>
        </is>
      </c>
    </row>
    <row r="41">
      <c r="B41" s="20" t="inlineStr">
        <is>
          <t>CÁLCULO</t>
        </is>
      </c>
      <c r="D41" s="4" t="inlineStr">
        <is>
          <t>RESULTADO</t>
        </is>
      </c>
      <c r="E41" s="4" t="inlineStr">
        <is>
          <t>UNIDAD</t>
        </is>
      </c>
      <c r="F41" s="9" t="inlineStr">
        <is>
          <t>FÓRMULA</t>
        </is>
      </c>
    </row>
    <row r="42">
      <c r="B42" s="15" t="inlineStr">
        <is>
          <t>Consumo diario real</t>
        </is>
      </c>
      <c r="D42" s="21">
        <f>H23</f>
        <v/>
      </c>
      <c r="E42" s="4" t="inlineStr">
        <is>
          <t>Wh/día</t>
        </is>
      </c>
      <c r="F42" s="9" t="inlineStr">
        <is>
          <t>Suma de consumos con factor de uso</t>
        </is>
      </c>
    </row>
    <row r="43">
      <c r="B43" s="15" t="inlineStr">
        <is>
          <t>Consumo ajustado inv.</t>
        </is>
      </c>
      <c r="D43" s="21">
        <f>H23/D36</f>
        <v/>
      </c>
      <c r="E43" s="4" t="inlineStr">
        <is>
          <t>Wh/día</t>
        </is>
      </c>
      <c r="F43" s="9" t="inlineStr">
        <is>
          <t>Consumo / Eficiencia inversor</t>
        </is>
      </c>
    </row>
    <row r="44">
      <c r="B44" s="15" t="inlineStr">
        <is>
          <t>Capacidad banco (Wh)</t>
        </is>
      </c>
      <c r="D44" s="21">
        <f>(H23*D33)/D35</f>
        <v/>
      </c>
      <c r="E44" s="4" t="inlineStr">
        <is>
          <t>Wh</t>
        </is>
      </c>
      <c r="F44" s="9" t="inlineStr">
        <is>
          <t>Consumo × Días / Prof. descarga</t>
        </is>
      </c>
    </row>
    <row r="45">
      <c r="B45" s="15" t="inlineStr">
        <is>
          <t>Capacidad banco (Ah)</t>
        </is>
      </c>
      <c r="D45" s="21">
        <f>D44/D27</f>
        <v/>
      </c>
      <c r="E45" s="4" t="inlineStr">
        <is>
          <t>Ah</t>
        </is>
      </c>
      <c r="F45" s="9" t="inlineStr">
        <is>
          <t>Capacidad Wh / Voltaje sistema</t>
        </is>
      </c>
    </row>
    <row r="46">
      <c r="B46" s="15" t="inlineStr">
        <is>
          <t>Potencia paneles FV</t>
        </is>
      </c>
      <c r="D46" s="21">
        <f>D43/D37/D38</f>
        <v/>
      </c>
      <c r="E46" s="4" t="inlineStr">
        <is>
          <t>Wp</t>
        </is>
      </c>
      <c r="F46" s="9" t="inlineStr">
        <is>
          <t>Consumo / HSP / Factor pérdidas</t>
        </is>
      </c>
    </row>
    <row r="47">
      <c r="B47" s="15" t="inlineStr">
        <is>
          <t>Potencia recomendada</t>
        </is>
      </c>
      <c r="D47" s="21">
        <f>D46*1.2</f>
        <v/>
      </c>
      <c r="E47" s="4" t="inlineStr">
        <is>
          <t>Wp</t>
        </is>
      </c>
      <c r="F47" s="9" t="inlineStr">
        <is>
          <t>Con 20% margen de seguridad</t>
        </is>
      </c>
    </row>
    <row r="48">
      <c r="B48" s="15" t="inlineStr">
        <is>
          <t>Cantidad paneles</t>
        </is>
      </c>
      <c r="D48" s="21">
        <f>ROUNDUP(D47/D39,0)</f>
        <v/>
      </c>
      <c r="E48" s="4" t="inlineStr">
        <is>
          <t>unidades</t>
        </is>
      </c>
      <c r="F48" s="9" t="inlineStr">
        <is>
          <t>Potencia recom. / Potencia panel</t>
        </is>
      </c>
    </row>
    <row r="49">
      <c r="B49" s="15" t="inlineStr">
        <is>
          <t>Potencia del inversor</t>
        </is>
      </c>
      <c r="D49" s="21">
        <f>MAX(D5:D22)*1.25</f>
        <v/>
      </c>
      <c r="E49" s="4" t="inlineStr">
        <is>
          <t>W</t>
        </is>
      </c>
      <c r="F49" s="9" t="inlineStr">
        <is>
          <t>Pico máximo potencia + 25%</t>
        </is>
      </c>
    </row>
    <row r="50">
      <c r="B50" s="15" t="inlineStr">
        <is>
          <t>Corriente controlador</t>
        </is>
      </c>
      <c r="D50" s="21">
        <f>D47/D27*1.25</f>
        <v/>
      </c>
      <c r="E50" s="4" t="inlineStr">
        <is>
          <t>A</t>
        </is>
      </c>
      <c r="F50" s="9" t="inlineStr">
        <is>
          <t>Para sistema con margen 25%</t>
        </is>
      </c>
    </row>
    <row r="51">
      <c r="A51" s="22" t="inlineStr">
        <is>
          <t>💰 PRESUPUESTO DEL SISTEMA (Precios editables)</t>
        </is>
      </c>
    </row>
    <row r="52">
      <c r="B52" s="23" t="inlineStr">
        <is>
          <t>COMPONENTE</t>
        </is>
      </c>
      <c r="C52" s="23" t="inlineStr">
        <is>
          <t>CANTIDAD</t>
        </is>
      </c>
      <c r="D52" s="23" t="inlineStr">
        <is>
          <t>PRECIO UNIT.</t>
        </is>
      </c>
      <c r="E52" s="23" t="inlineStr">
        <is>
          <t>SUBTOTAL</t>
        </is>
      </c>
      <c r="F52" s="23" t="inlineStr">
        <is>
          <t>ESPECIFICACIÓN</t>
        </is>
      </c>
    </row>
    <row r="53">
      <c r="B53" s="15" t="inlineStr">
        <is>
          <t>Paneles Solares</t>
        </is>
      </c>
      <c r="C53" s="24">
        <f>D48</f>
        <v/>
      </c>
      <c r="D53" s="25" t="n">
        <v>175</v>
      </c>
      <c r="E53" s="26">
        <f>C53*D53</f>
        <v/>
      </c>
      <c r="F53" s="9">
        <f>D39&amp;"W cada uno"</f>
        <v/>
      </c>
    </row>
    <row r="54">
      <c r="B54" s="15" t="inlineStr">
        <is>
          <t>Inversor Híbrido</t>
        </is>
      </c>
      <c r="C54" s="4" t="n">
        <v>1</v>
      </c>
      <c r="D54" s="25" t="n">
        <v>1500</v>
      </c>
      <c r="E54" s="26">
        <f>C54*D54</f>
        <v/>
      </c>
      <c r="F54" s="9">
        <f>ROUND(D49/1000,1)&amp;"kW @ "&amp;D27&amp;"V "&amp;D29</f>
        <v/>
      </c>
    </row>
    <row r="55">
      <c r="B55" s="15" t="inlineStr">
        <is>
          <t>Baterías 200Ah</t>
        </is>
      </c>
      <c r="C55" s="24">
        <f>ROUNDUP(D45/200,0)</f>
        <v/>
      </c>
      <c r="D55" s="25" t="n">
        <v>550</v>
      </c>
      <c r="E55" s="26">
        <f>C55*D55</f>
        <v/>
      </c>
      <c r="F55" s="9">
        <f>D34&amp;" tipo"</f>
        <v/>
      </c>
    </row>
    <row r="56">
      <c r="B56" s="15" t="inlineStr">
        <is>
          <t>Estructura montaje</t>
        </is>
      </c>
      <c r="C56" s="24">
        <f>D48</f>
        <v/>
      </c>
      <c r="D56" s="25" t="n">
        <v>15</v>
      </c>
      <c r="E56" s="26">
        <f>C56*D56</f>
        <v/>
      </c>
      <c r="F56" s="9" t="inlineStr">
        <is>
          <t>Aluminio con tornillería</t>
        </is>
      </c>
    </row>
    <row r="57">
      <c r="B57" s="15" t="inlineStr">
        <is>
          <t>Cable solar DC</t>
        </is>
      </c>
      <c r="C57" s="4" t="n">
        <v>1</v>
      </c>
      <c r="D57" s="25" t="n">
        <v>300</v>
      </c>
      <c r="E57" s="26">
        <f>C57*D57</f>
        <v/>
      </c>
      <c r="F57" s="9" t="inlineStr">
        <is>
          <t>50m cable 10AWG + MC4</t>
        </is>
      </c>
    </row>
    <row r="58">
      <c r="B58" s="15" t="inlineStr">
        <is>
          <t>Cable AC</t>
        </is>
      </c>
      <c r="C58" s="4" t="n">
        <v>1</v>
      </c>
      <c r="D58" s="25" t="n">
        <v>200</v>
      </c>
      <c r="E58" s="26">
        <f>C58*D58</f>
        <v/>
      </c>
      <c r="F58" s="9" t="inlineStr">
        <is>
          <t>Entrada/salida apropiado</t>
        </is>
      </c>
    </row>
    <row r="59">
      <c r="B59" s="15" t="inlineStr">
        <is>
          <t>Breakers DC</t>
        </is>
      </c>
      <c r="C59" s="4" t="n">
        <v>1</v>
      </c>
      <c r="D59" s="25" t="n">
        <v>150</v>
      </c>
      <c r="E59" s="26">
        <f>C59*D59</f>
        <v/>
      </c>
      <c r="F59" s="9" t="inlineStr">
        <is>
          <t>Protección paneles/baterías</t>
        </is>
      </c>
    </row>
    <row r="60">
      <c r="B60" s="15" t="inlineStr">
        <is>
          <t>Breakers AC</t>
        </is>
      </c>
      <c r="C60" s="4" t="n">
        <v>1</v>
      </c>
      <c r="D60" s="25" t="n">
        <v>100</v>
      </c>
      <c r="E60" s="26">
        <f>C60*D60</f>
        <v/>
      </c>
      <c r="F60" s="9" t="inlineStr">
        <is>
          <t>Según D29</t>
        </is>
      </c>
    </row>
    <row r="61">
      <c r="B61" s="15" t="inlineStr">
        <is>
          <t>Tablero distribución</t>
        </is>
      </c>
      <c r="C61" s="4" t="n">
        <v>1</v>
      </c>
      <c r="D61" s="25" t="n">
        <v>150</v>
      </c>
      <c r="E61" s="26">
        <f>C61*D61</f>
        <v/>
      </c>
      <c r="F61" s="9" t="inlineStr">
        <is>
          <t>Con espacio breakers</t>
        </is>
      </c>
    </row>
    <row r="62">
      <c r="B62" s="15" t="inlineStr">
        <is>
          <t>Puesta a tierra</t>
        </is>
      </c>
      <c r="C62" s="4" t="n">
        <v>1</v>
      </c>
      <c r="D62" s="25" t="n">
        <v>100</v>
      </c>
      <c r="E62" s="26">
        <f>C62*D62</f>
        <v/>
      </c>
      <c r="F62" s="9" t="inlineStr">
        <is>
          <t>Varillas + cable tierra</t>
        </is>
      </c>
    </row>
    <row r="63">
      <c r="B63" s="15" t="inlineStr">
        <is>
          <t>Canaletas y ductos</t>
        </is>
      </c>
      <c r="C63" s="4" t="n">
        <v>1</v>
      </c>
      <c r="D63" s="25" t="n">
        <v>120</v>
      </c>
      <c r="E63" s="26">
        <f>C63*D63</f>
        <v/>
      </c>
      <c r="F63" s="9" t="inlineStr">
        <is>
          <t>PVC protección cables</t>
        </is>
      </c>
    </row>
    <row r="64">
      <c r="B64" s="15" t="inlineStr">
        <is>
          <t>Materiales varios</t>
        </is>
      </c>
      <c r="C64" s="4" t="n">
        <v>1</v>
      </c>
      <c r="D64" s="25" t="n">
        <v>180</v>
      </c>
      <c r="E64" s="26">
        <f>C64*D64</f>
        <v/>
      </c>
      <c r="F64" s="9" t="inlineStr">
        <is>
          <t>Conectores, terminales</t>
        </is>
      </c>
    </row>
    <row r="65">
      <c r="B65" s="27" t="inlineStr">
        <is>
          <t>SUBTOTAL MATERIALES</t>
        </is>
      </c>
      <c r="E65" s="28">
        <f>SUM(E53:E64)</f>
        <v/>
      </c>
    </row>
    <row r="66">
      <c r="B66" s="29" t="inlineStr">
        <is>
          <t>MANO DE OBRA INSTALACIÓN</t>
        </is>
      </c>
      <c r="E66" s="30" t="n">
        <v>2500</v>
      </c>
      <c r="F66" s="9" t="inlineStr">
        <is>
          <t>Diseño, instalación, pruebas</t>
        </is>
      </c>
    </row>
    <row r="67">
      <c r="B67" s="31" t="inlineStr">
        <is>
          <t>💵 INVERSIÓN TOTAL</t>
        </is>
      </c>
      <c r="E67" s="32">
        <f>E65+E66</f>
        <v/>
      </c>
    </row>
    <row r="69">
      <c r="A69" s="33" t="inlineStr">
        <is>
          <t>⚡ TABLA DE REFERENCIA - VOLTAJES Y CONFIGURACIONES</t>
        </is>
      </c>
    </row>
    <row r="70">
      <c r="B70" s="34" t="inlineStr">
        <is>
          <t>VOLTAJE</t>
        </is>
      </c>
      <c r="C70" s="34" t="inlineStr">
        <is>
          <t>APLICACIÓN</t>
        </is>
      </c>
      <c r="D70" s="34" t="inlineStr">
        <is>
          <t>TIPO RED</t>
        </is>
      </c>
      <c r="E70" s="34" t="inlineStr">
        <is>
          <t>VENTAJAS</t>
        </is>
      </c>
    </row>
    <row r="71" ht="20" customHeight="1">
      <c r="B71" s="35" t="inlineStr">
        <is>
          <t>12V</t>
        </is>
      </c>
      <c r="C71" s="35" t="inlineStr">
        <is>
          <t>Sistemas pequeños (&lt;500W)</t>
        </is>
      </c>
      <c r="D71" s="36" t="inlineStr">
        <is>
          <t>Monofásico</t>
        </is>
      </c>
      <c r="E71" s="36" t="inlineStr">
        <is>
          <t>Económico, fácil instalación</t>
        </is>
      </c>
    </row>
    <row r="72" ht="20" customHeight="1">
      <c r="B72" s="35" t="inlineStr">
        <is>
          <t>24V</t>
        </is>
      </c>
      <c r="C72" s="35" t="inlineStr">
        <is>
          <t>Sistemas medianos (500-2000W)</t>
        </is>
      </c>
      <c r="D72" s="36" t="inlineStr">
        <is>
          <t>Monofásico</t>
        </is>
      </c>
      <c r="E72" s="36" t="inlineStr">
        <is>
          <t>Balance costo/eficiencia</t>
        </is>
      </c>
    </row>
    <row r="73" ht="20" customHeight="1">
      <c r="B73" s="35" t="inlineStr">
        <is>
          <t>48V</t>
        </is>
      </c>
      <c r="C73" s="35" t="inlineStr">
        <is>
          <t>Sistemas grandes (&gt;2000W)</t>
        </is>
      </c>
      <c r="D73" s="36" t="inlineStr">
        <is>
          <t>Mono/Fase dividida</t>
        </is>
      </c>
      <c r="E73" s="36" t="inlineStr">
        <is>
          <t>Mayor eficiencia, menos corriente</t>
        </is>
      </c>
    </row>
    <row r="74" ht="20" customHeight="1">
      <c r="B74" s="35" t="inlineStr">
        <is>
          <t>96V</t>
        </is>
      </c>
      <c r="C74" s="35" t="inlineStr">
        <is>
          <t>Sistemas industriales</t>
        </is>
      </c>
      <c r="D74" s="36" t="inlineStr">
        <is>
          <t>Trifásico</t>
        </is>
      </c>
      <c r="E74" s="36" t="inlineStr">
        <is>
          <t>Máxima eficiencia, grandes potencias</t>
        </is>
      </c>
    </row>
    <row r="76">
      <c r="A76" s="37" t="inlineStr">
        <is>
          <t>🔋 TABLA DE REFERENCIA - TIPOS DE BATERÍAS</t>
        </is>
      </c>
    </row>
    <row r="77">
      <c r="B77" s="38" t="inlineStr">
        <is>
          <t>TIPO</t>
        </is>
      </c>
      <c r="C77" s="38" t="inlineStr">
        <is>
          <t>PROF.DESC.</t>
        </is>
      </c>
      <c r="D77" s="38" t="inlineStr">
        <is>
          <t>VIDA ÚTIL</t>
        </is>
      </c>
      <c r="E77" s="38" t="inlineStr">
        <is>
          <t>PRECIO/200Ah</t>
        </is>
      </c>
      <c r="F77" s="38" t="inlineStr">
        <is>
          <t>VENTAJAS</t>
        </is>
      </c>
      <c r="G77" s="38" t="inlineStr">
        <is>
          <t>DESVENTAJAS</t>
        </is>
      </c>
    </row>
    <row r="78" ht="20" customHeight="1">
      <c r="B78" s="35" t="inlineStr">
        <is>
          <t>Plomo-ácido</t>
        </is>
      </c>
      <c r="C78" s="35" t="inlineStr">
        <is>
          <t>50%</t>
        </is>
      </c>
      <c r="D78" s="35" t="inlineStr">
        <is>
          <t>3-5 años</t>
        </is>
      </c>
      <c r="E78" s="39" t="inlineStr">
        <is>
          <t>$350-450</t>
        </is>
      </c>
      <c r="F78" s="36" t="inlineStr">
        <is>
          <t>Bajo costo inicial</t>
        </is>
      </c>
      <c r="G78" s="36" t="inlineStr">
        <is>
          <t>Pesadas, mantenimiento</t>
        </is>
      </c>
    </row>
    <row r="79" ht="20" customHeight="1">
      <c r="B79" s="35" t="inlineStr">
        <is>
          <t>AGM</t>
        </is>
      </c>
      <c r="C79" s="35" t="inlineStr">
        <is>
          <t>60%</t>
        </is>
      </c>
      <c r="D79" s="35" t="inlineStr">
        <is>
          <t>5-7 años</t>
        </is>
      </c>
      <c r="E79" s="39" t="inlineStr">
        <is>
          <t>$500-650</t>
        </is>
      </c>
      <c r="F79" s="36" t="inlineStr">
        <is>
          <t>Sin mantenimiento</t>
        </is>
      </c>
      <c r="G79" s="36" t="inlineStr">
        <is>
          <t>Más caras que plomo</t>
        </is>
      </c>
    </row>
    <row r="80" ht="20" customHeight="1">
      <c r="B80" s="35" t="inlineStr">
        <is>
          <t>Gel</t>
        </is>
      </c>
      <c r="C80" s="35" t="inlineStr">
        <is>
          <t>70%</t>
        </is>
      </c>
      <c r="D80" s="35" t="inlineStr">
        <is>
          <t>8-10 años</t>
        </is>
      </c>
      <c r="E80" s="39" t="inlineStr">
        <is>
          <t>$600-750</t>
        </is>
      </c>
      <c r="F80" s="36" t="inlineStr">
        <is>
          <t>Duraderas, seguras</t>
        </is>
      </c>
      <c r="G80" s="36" t="inlineStr">
        <is>
          <t>Sensibles a sobrecarga</t>
        </is>
      </c>
    </row>
    <row r="81" ht="20" customHeight="1">
      <c r="B81" s="35" t="inlineStr">
        <is>
          <t>Litio</t>
        </is>
      </c>
      <c r="C81" s="35" t="inlineStr">
        <is>
          <t>80-90%</t>
        </is>
      </c>
      <c r="D81" s="35" t="inlineStr">
        <is>
          <t>10-15 años</t>
        </is>
      </c>
      <c r="E81" s="39" t="inlineStr">
        <is>
          <t>$800-1000</t>
        </is>
      </c>
      <c r="F81" s="36" t="inlineStr">
        <is>
          <t>Eficientes, livianas</t>
        </is>
      </c>
      <c r="G81" s="36" t="inlineStr">
        <is>
          <t>Inversión inicial alta</t>
        </is>
      </c>
    </row>
    <row r="83">
      <c r="A83" s="40" t="inlineStr">
        <is>
          <t>📝 INSTRUCCIONES V3 - NUEVAS FUNCIONES</t>
        </is>
      </c>
    </row>
    <row r="84" ht="22" customHeight="1">
      <c r="A84" s="41" t="inlineStr">
        <is>
          <t>⭐ NUEVO: VOLTAJE DEL SISTEMA - Edite según necesidad (12V/24V/48V/96V)</t>
        </is>
      </c>
    </row>
    <row r="85" ht="22" customHeight="1">
      <c r="A85" s="41" t="inlineStr">
        <is>
          <t>⭐ NUEVO: FRECUENCIA - Cambie entre 50Hz o 60Hz según su país</t>
        </is>
      </c>
    </row>
    <row r="86" ht="22" customHeight="1">
      <c r="A86" s="41" t="inlineStr">
        <is>
          <t>⭐ NUEVO: TIPO DE RED - Escriba: "110V Monofásico", "220V Fase dividida" o "220V/380V Trifásico"</t>
        </is>
      </c>
    </row>
    <row r="87" ht="22" customHeight="1">
      <c r="A87" s="41" t="inlineStr">
        <is>
          <t>⭐ NUEVO: POTENCIA DEL PANEL - Cambie de 400W a cualquier valor (250W, 330W, 500W, etc.)</t>
        </is>
      </c>
    </row>
    <row r="88" ht="22" customHeight="1">
      <c r="A88" s="41" t="inlineStr">
        <is>
          <t>⭐ AUTOMÁTICO: La CANTIDAD DE PANELES se recalcula según potencia elegida</t>
        </is>
      </c>
    </row>
    <row r="89" ht="22" customHeight="1">
      <c r="A89" s="41" t="inlineStr">
        <is>
          <t>1️⃣ EQUIPOS: Edite Cantidad, Potencia, Horas/día y Factor de uso</t>
        </is>
      </c>
    </row>
    <row r="90" ht="22" customHeight="1">
      <c r="A90" s="41" t="inlineStr">
        <is>
          <t>2️⃣ TIPO DE BATERÍA: Escriba Plomo-ácido, AGM, Gel o Litio</t>
        </is>
      </c>
    </row>
    <row r="91" ht="22" customHeight="1">
      <c r="A91" s="41" t="inlineStr">
        <is>
          <t>3️⃣ PROFUNDIDAD: Ajuste según tipo (ver tabla de referencia)</t>
        </is>
      </c>
    </row>
    <row r="92" ht="22" customHeight="1">
      <c r="A92" s="41" t="inlineStr">
        <is>
          <t>4️⃣ COSTOS: Actualice precios según proveedores</t>
        </is>
      </c>
    </row>
    <row r="93" ht="22" customHeight="1">
      <c r="A93" s="41" t="inlineStr">
        <is>
          <t>5️⃣ TODO SE RECALCULA AUTOMÁTICAMENTE al cambiar cualquier valor</t>
        </is>
      </c>
    </row>
    <row r="95">
      <c r="A95" s="42" t="inlineStr">
        <is>
          <t>📧 Email: apolivera1973@gmail.com | Versión 3.0 - Totalmente Personalizable | Diciembre 2024</t>
        </is>
      </c>
    </row>
  </sheetData>
  <mergeCells count="83">
    <mergeCell ref="A90:I90"/>
    <mergeCell ref="F27:I27"/>
    <mergeCell ref="A2:I2"/>
    <mergeCell ref="A85:I85"/>
    <mergeCell ref="F53:I53"/>
    <mergeCell ref="F29:I29"/>
    <mergeCell ref="B38:C38"/>
    <mergeCell ref="F59:I59"/>
    <mergeCell ref="A23:E23"/>
    <mergeCell ref="B49:C49"/>
    <mergeCell ref="B33:C33"/>
    <mergeCell ref="B32:C32"/>
    <mergeCell ref="B26:C26"/>
    <mergeCell ref="B41:C41"/>
    <mergeCell ref="A87:I87"/>
    <mergeCell ref="B35:C35"/>
    <mergeCell ref="F56:I56"/>
    <mergeCell ref="F43:I43"/>
    <mergeCell ref="F58:I58"/>
    <mergeCell ref="A89:I89"/>
    <mergeCell ref="F37:I37"/>
    <mergeCell ref="B27:C27"/>
    <mergeCell ref="F60:I60"/>
    <mergeCell ref="F57:I57"/>
    <mergeCell ref="A76:I76"/>
    <mergeCell ref="F44:I44"/>
    <mergeCell ref="F54:I54"/>
    <mergeCell ref="A91:I91"/>
    <mergeCell ref="F63:I63"/>
    <mergeCell ref="F34:I34"/>
    <mergeCell ref="B29:C29"/>
    <mergeCell ref="A93:I93"/>
    <mergeCell ref="B37:C37"/>
    <mergeCell ref="F30:I30"/>
    <mergeCell ref="A83:I83"/>
    <mergeCell ref="F33:I33"/>
    <mergeCell ref="F45:I45"/>
    <mergeCell ref="A92:I92"/>
    <mergeCell ref="F42:I42"/>
    <mergeCell ref="A1:I1"/>
    <mergeCell ref="F47:I47"/>
    <mergeCell ref="F62:I62"/>
    <mergeCell ref="A69:I69"/>
    <mergeCell ref="F46:I46"/>
    <mergeCell ref="F28:I28"/>
    <mergeCell ref="F61:I61"/>
    <mergeCell ref="F39:I39"/>
    <mergeCell ref="F48:I48"/>
    <mergeCell ref="B43:C43"/>
    <mergeCell ref="F64:I64"/>
    <mergeCell ref="B42:C42"/>
    <mergeCell ref="B65:D65"/>
    <mergeCell ref="B44:C44"/>
    <mergeCell ref="B34:C34"/>
    <mergeCell ref="B28:C28"/>
    <mergeCell ref="A40:I40"/>
    <mergeCell ref="F36:I36"/>
    <mergeCell ref="F50:I50"/>
    <mergeCell ref="B30:C30"/>
    <mergeCell ref="B66:D66"/>
    <mergeCell ref="F66:I66"/>
    <mergeCell ref="B45:C45"/>
    <mergeCell ref="A25:I25"/>
    <mergeCell ref="B47:C47"/>
    <mergeCell ref="B67:D67"/>
    <mergeCell ref="A84:I84"/>
    <mergeCell ref="B46:C46"/>
    <mergeCell ref="F49:I49"/>
    <mergeCell ref="A86:I86"/>
    <mergeCell ref="B39:C39"/>
    <mergeCell ref="A95:I95"/>
    <mergeCell ref="B48:C48"/>
    <mergeCell ref="F55:I55"/>
    <mergeCell ref="A31:I31"/>
    <mergeCell ref="F32:I32"/>
    <mergeCell ref="F26:I26"/>
    <mergeCell ref="F41:I41"/>
    <mergeCell ref="A51:I51"/>
    <mergeCell ref="F35:I35"/>
    <mergeCell ref="A88:I88"/>
    <mergeCell ref="B36:C36"/>
    <mergeCell ref="F38:I38"/>
    <mergeCell ref="B50:C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2025-12-13T05:21:54Z</dcterms:created>
  <dcterms:modified xsi:type="dcterms:W3CDTF">2025-12-13T05:21:54Z</dcterms:modified>
</cp:coreProperties>
</file>